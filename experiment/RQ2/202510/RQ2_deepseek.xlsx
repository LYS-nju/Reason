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00" windowHeight="12880"/>
  </bookViews>
  <sheets>
    <sheet name="CVE" sheetId="1" r:id="rId1"/>
    <sheet name="smartbug_cura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<sst xmlns="http://schemas.openxmlformats.org/spreadsheetml/2006/main" count="104" uniqueCount="76">
  <si>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CVE</t>
  </si>
  <si>
    <t>Deepseek 1</t>
  </si>
  <si>
    <t>Deepseek 2</t>
  </si>
  <si>
    <t>Deepseek 3</t>
  </si>
  <si>
    <t>Vulnerability 
Number</t>
  </si>
  <si>
    <t>Vulnerability 
Function</t>
  </si>
  <si>
    <t>TP</t>
  </si>
  <si>
    <t>FP</t>
  </si>
  <si>
    <t>FN</t>
  </si>
  <si>
    <t>CVE-2018-10666</t>
  </si>
  <si>
    <t>setOwner()</t>
  </si>
  <si>
    <t>CVE-2018-10705</t>
  </si>
  <si>
    <t>CVE-2018-11329</t>
  </si>
  <si>
    <t>DrugDealer()</t>
  </si>
  <si>
    <t>CVE-2018-19830</t>
  </si>
  <si>
    <t>UBSexToken()</t>
  </si>
  <si>
    <t>CVE-2018-19831</t>
  </si>
  <si>
    <t>ToOwner()
Mining24()</t>
  </si>
  <si>
    <t>CVE-2018-19832</t>
  </si>
  <si>
    <t>NETM()</t>
  </si>
  <si>
    <t>CVE-2018-19833</t>
  </si>
  <si>
    <t>owned()</t>
  </si>
  <si>
    <t>CVE-2018-19834</t>
  </si>
  <si>
    <t>quaker()</t>
  </si>
  <si>
    <t>CVE-2019-15078</t>
  </si>
  <si>
    <t>XBornID()</t>
  </si>
  <si>
    <t>CVE-2019-15079</t>
  </si>
  <si>
    <t>EAI_TokenERC20()</t>
  </si>
  <si>
    <t>CVE-2019-15080</t>
  </si>
  <si>
    <t>CVE-2020-17753</t>
  </si>
  <si>
    <t>addMeByRC()</t>
  </si>
  <si>
    <t>CVE-2020-35962</t>
  </si>
  <si>
    <t>sellTokenForLRC()</t>
  </si>
  <si>
    <t>CVE-2021-34272</t>
  </si>
  <si>
    <t>CVE-2021-34273</t>
  </si>
  <si>
    <t>Sum</t>
  </si>
  <si>
    <t>Precision</t>
  </si>
  <si>
    <t>Recall</t>
  </si>
  <si>
    <t>F1</t>
  </si>
  <si>
    <t>contract</t>
  </si>
  <si>
    <t>arbitrary_location_write_simple.sol</t>
  </si>
  <si>
    <t>PopBonusCode()</t>
  </si>
  <si>
    <t>FibonacciBalance.sol</t>
  </si>
  <si>
    <t>withdraw()
Fallback</t>
  </si>
  <si>
    <t>incorrect_constructor_name1.sol</t>
  </si>
  <si>
    <t>IamMissing()</t>
  </si>
  <si>
    <t>incorrect_constructor_name2.sol</t>
  </si>
  <si>
    <t>missing()</t>
  </si>
  <si>
    <t>incorrect_constructor_name3.sol</t>
  </si>
  <si>
    <t>Constructor()</t>
  </si>
  <si>
    <t>mapping_write.sol</t>
  </si>
  <si>
    <t>set()</t>
  </si>
  <si>
    <t>multiowned_vulnerable.sol</t>
  </si>
  <si>
    <t>newOwner()</t>
  </si>
  <si>
    <t>mycontract.sol</t>
  </si>
  <si>
    <t>sendTo()</t>
  </si>
  <si>
    <t>parity_wallet_bug_1.sol</t>
  </si>
  <si>
    <t>initWallet()
Fallback</t>
  </si>
  <si>
    <t>parity_wallet_bug_2.sol</t>
  </si>
  <si>
    <t>initWallet()
kill()</t>
  </si>
  <si>
    <t>phishable.sol</t>
  </si>
  <si>
    <t>withdrawAll()</t>
  </si>
  <si>
    <t>proxy.sol</t>
  </si>
  <si>
    <t>forward()</t>
  </si>
  <si>
    <t>rubixi.sol</t>
  </si>
  <si>
    <t>DynamicPyramid()</t>
  </si>
  <si>
    <t>simple_suicide.sol</t>
  </si>
  <si>
    <t>sudicideAnyone()</t>
  </si>
  <si>
    <t>unprotected0.sol</t>
  </si>
  <si>
    <t>changeOwner()</t>
  </si>
  <si>
    <t>wallet_02_refund_nosub.sol</t>
  </si>
  <si>
    <t>refund()</t>
  </si>
  <si>
    <t>wallet_03_wrong_constructor.sol</t>
  </si>
  <si>
    <t>initWallet()</t>
  </si>
  <si>
    <t>wallet_04_confused_sign.sol</t>
  </si>
  <si>
    <t>withdraw()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</si>
</sst>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topLeftCell="C1" workbookViewId="0">
      <pane ySplit="2" topLeftCell="A3" activePane="bottomLeft" state="frozen"/>
      <selection/>
      <selection pane="bottomLeft" activeCell="H19" sqref="H19"/>
    </sheetView>
  </sheetViews>
  <sheetFormatPr defaultColWidth="9" defaultRowHeight="14"/>
  <cols>
    <col min="1" max="1" width="26.4454545454545" style="2" customWidth="1"/>
    <col min="2" max="2" width="10.3363636363636" style="2" customWidth="1"/>
    <col min="3" max="3" width="9" style="2"/>
    <col min="4" max="4" width="11.4454545454545" style="2" customWidth="1"/>
    <col min="5" max="5" width="12.8909090909091" style="2"/>
    <col min="6" max="7" width="9" style="2"/>
    <col min="8" max="8" width="12.8909090909091" style="2"/>
    <col min="9" max="10" width="9" style="2"/>
    <col min="11" max="11" width="25.7818181818182" style="2" customWidth="1"/>
    <col min="12" max="12" width="28.7818181818182" style="2" customWidth="1"/>
    <col min="13" max="16384" width="9" style="6"/>
  </cols>
  <sheetData>
    <row r="1" spans="1:12">
      <c r="A1" s="7" t="s">
        <v>0</v>
      </c>
      <c r="B1" s="2" t="s">
        <v>1</v>
      </c>
      <c r="E1" s="2" t="s">
        <v>2</v>
      </c>
      <c r="H1" s="2" t="s">
        <v>3</v>
      </c>
      <c r="K1" s="4" t="s">
        <v>4</v>
      </c>
      <c r="L1" s="4" t="s">
        <v>5</v>
      </c>
    </row>
    <row r="2" ht="38" customHeight="1" spans="1:12">
      <c r="A2" s="7"/>
      <c r="B2" s="2" t="s">
        <v>6</v>
      </c>
      <c r="C2" s="2" t="s">
        <v>7</v>
      </c>
      <c r="D2" s="2" t="s">
        <v>8</v>
      </c>
      <c r="E2" s="2" t="s">
        <v>6</v>
      </c>
      <c r="F2" s="2" t="s">
        <v>7</v>
      </c>
      <c r="G2" s="2" t="s">
        <v>8</v>
      </c>
      <c r="H2" s="2" t="s">
        <v>6</v>
      </c>
      <c r="I2" s="2" t="s">
        <v>7</v>
      </c>
      <c r="J2" s="2" t="s">
        <v>8</v>
      </c>
      <c r="K2" s="4"/>
      <c r="L2" s="4"/>
    </row>
    <row r="3" spans="1:12">
      <c r="A3" s="7" t="s">
        <v>9</v>
      </c>
      <c r="B3" s="2">
        <v>1</v>
      </c>
      <c r="C3" s="2">
        <v>0</v>
      </c>
      <c r="D3" s="2">
        <f>K3-B3</f>
        <v>0</v>
      </c>
      <c r="E3" s="2">
        <v>1</v>
      </c>
      <c r="F3" s="2">
        <v>0</v>
      </c>
      <c r="G3" s="2">
        <f>K3-E3</f>
        <v>0</v>
      </c>
      <c r="H3" s="2">
        <v>1</v>
      </c>
      <c r="I3" s="2">
        <v>0</v>
      </c>
      <c r="J3" s="2">
        <f>K3-H3</f>
        <v>0</v>
      </c>
      <c r="K3" s="7">
        <v>1</v>
      </c>
      <c r="L3" s="7" t="s">
        <v>10</v>
      </c>
    </row>
    <row r="4" spans="1:12">
      <c r="A4" s="7" t="s">
        <v>11</v>
      </c>
      <c r="B4" s="2">
        <v>1</v>
      </c>
      <c r="C4" s="2">
        <v>0</v>
      </c>
      <c r="D4" s="2">
        <f>K4-B4</f>
        <v>0</v>
      </c>
      <c r="E4" s="2">
        <v>1</v>
      </c>
      <c r="F4" s="2">
        <v>0</v>
      </c>
      <c r="G4" s="2">
        <f t="shared" ref="G4:G17" si="0">K4-E4</f>
        <v>0</v>
      </c>
      <c r="H4" s="2">
        <v>1</v>
      </c>
      <c r="I4" s="2">
        <v>0</v>
      </c>
      <c r="J4" s="2">
        <f t="shared" ref="J4:J17" si="1">K4-H4</f>
        <v>0</v>
      </c>
      <c r="K4" s="7">
        <v>1</v>
      </c>
      <c r="L4" s="7" t="s">
        <v>10</v>
      </c>
    </row>
    <row r="5" spans="1:12">
      <c r="A5" s="7" t="s">
        <v>12</v>
      </c>
      <c r="B5" s="2">
        <v>1</v>
      </c>
      <c r="C5" s="2">
        <v>0</v>
      </c>
      <c r="D5" s="2">
        <f t="shared" ref="D4:D17" si="2">K5-B5</f>
        <v>0</v>
      </c>
      <c r="E5" s="2">
        <v>1</v>
      </c>
      <c r="F5" s="2">
        <v>0</v>
      </c>
      <c r="G5" s="2">
        <f t="shared" si="0"/>
        <v>0</v>
      </c>
      <c r="H5" s="2">
        <v>1</v>
      </c>
      <c r="I5" s="2">
        <v>0</v>
      </c>
      <c r="J5" s="2">
        <f t="shared" si="1"/>
        <v>0</v>
      </c>
      <c r="K5" s="7">
        <v>1</v>
      </c>
      <c r="L5" s="7" t="s">
        <v>13</v>
      </c>
    </row>
    <row r="6" spans="1:12">
      <c r="A6" s="7" t="s">
        <v>14</v>
      </c>
      <c r="B6" s="2">
        <v>0</v>
      </c>
      <c r="C6" s="2">
        <v>0</v>
      </c>
      <c r="D6" s="2">
        <f t="shared" si="2"/>
        <v>1</v>
      </c>
      <c r="E6" s="2">
        <v>1</v>
      </c>
      <c r="F6" s="2">
        <v>0</v>
      </c>
      <c r="G6" s="2">
        <f t="shared" si="0"/>
        <v>0</v>
      </c>
      <c r="H6" s="2">
        <v>1</v>
      </c>
      <c r="I6" s="2">
        <v>0</v>
      </c>
      <c r="J6" s="2">
        <f t="shared" si="1"/>
        <v>0</v>
      </c>
      <c r="K6" s="7">
        <v>1</v>
      </c>
      <c r="L6" s="7" t="s">
        <v>15</v>
      </c>
    </row>
    <row r="7" ht="28" spans="1:12">
      <c r="A7" s="7" t="s">
        <v>16</v>
      </c>
      <c r="B7" s="2">
        <v>0</v>
      </c>
      <c r="C7" s="2">
        <v>1</v>
      </c>
      <c r="D7" s="2">
        <f t="shared" si="2"/>
        <v>2</v>
      </c>
      <c r="E7" s="2">
        <v>2</v>
      </c>
      <c r="F7" s="2">
        <v>1</v>
      </c>
      <c r="G7" s="2">
        <f t="shared" si="0"/>
        <v>0</v>
      </c>
      <c r="H7" s="2">
        <v>2</v>
      </c>
      <c r="I7" s="2">
        <v>1</v>
      </c>
      <c r="J7" s="2">
        <f t="shared" si="1"/>
        <v>0</v>
      </c>
      <c r="K7" s="7">
        <v>2</v>
      </c>
      <c r="L7" s="4" t="s">
        <v>17</v>
      </c>
    </row>
    <row r="8" spans="1:12">
      <c r="A8" s="7" t="s">
        <v>18</v>
      </c>
      <c r="B8" s="2">
        <v>0</v>
      </c>
      <c r="C8" s="2">
        <v>0</v>
      </c>
      <c r="D8" s="2">
        <f t="shared" si="2"/>
        <v>1</v>
      </c>
      <c r="E8" s="2">
        <v>0</v>
      </c>
      <c r="F8" s="2">
        <v>0</v>
      </c>
      <c r="G8" s="2">
        <f t="shared" si="0"/>
        <v>1</v>
      </c>
      <c r="H8" s="2">
        <v>0</v>
      </c>
      <c r="I8" s="2">
        <v>0</v>
      </c>
      <c r="J8" s="2">
        <f t="shared" si="1"/>
        <v>1</v>
      </c>
      <c r="K8" s="7">
        <v>1</v>
      </c>
      <c r="L8" s="7" t="s">
        <v>19</v>
      </c>
    </row>
    <row r="9" spans="1:12">
      <c r="A9" s="7" t="s">
        <v>20</v>
      </c>
      <c r="B9" s="2">
        <v>1</v>
      </c>
      <c r="C9" s="2">
        <v>0</v>
      </c>
      <c r="D9" s="2">
        <f t="shared" si="2"/>
        <v>0</v>
      </c>
      <c r="E9" s="2">
        <v>1</v>
      </c>
      <c r="F9" s="2">
        <v>0</v>
      </c>
      <c r="G9" s="2">
        <f t="shared" si="0"/>
        <v>0</v>
      </c>
      <c r="H9" s="2">
        <v>1</v>
      </c>
      <c r="I9" s="2">
        <v>0</v>
      </c>
      <c r="J9" s="2">
        <f t="shared" si="1"/>
        <v>0</v>
      </c>
      <c r="K9" s="7">
        <v>1</v>
      </c>
      <c r="L9" s="7" t="s">
        <v>21</v>
      </c>
    </row>
    <row r="10" spans="1:12">
      <c r="A10" s="7" t="s">
        <v>22</v>
      </c>
      <c r="B10" s="2">
        <v>1</v>
      </c>
      <c r="C10" s="2">
        <v>0</v>
      </c>
      <c r="D10" s="2">
        <f t="shared" si="2"/>
        <v>0</v>
      </c>
      <c r="E10" s="2">
        <v>1</v>
      </c>
      <c r="F10" s="2">
        <v>0</v>
      </c>
      <c r="G10" s="2">
        <f t="shared" si="0"/>
        <v>0</v>
      </c>
      <c r="H10" s="2">
        <v>1</v>
      </c>
      <c r="I10" s="2">
        <v>0</v>
      </c>
      <c r="J10" s="2">
        <f t="shared" si="1"/>
        <v>0</v>
      </c>
      <c r="K10" s="7">
        <v>1</v>
      </c>
      <c r="L10" s="7" t="s">
        <v>23</v>
      </c>
    </row>
    <row r="11" spans="1:12">
      <c r="A11" s="7" t="s">
        <v>24</v>
      </c>
      <c r="B11" s="2">
        <v>0</v>
      </c>
      <c r="C11" s="2">
        <v>0</v>
      </c>
      <c r="D11" s="2">
        <f t="shared" si="2"/>
        <v>1</v>
      </c>
      <c r="E11" s="2">
        <v>0</v>
      </c>
      <c r="F11" s="2">
        <v>0</v>
      </c>
      <c r="G11" s="2">
        <f t="shared" si="0"/>
        <v>1</v>
      </c>
      <c r="H11" s="2">
        <v>0</v>
      </c>
      <c r="I11" s="2">
        <v>0</v>
      </c>
      <c r="J11" s="2">
        <f t="shared" si="1"/>
        <v>1</v>
      </c>
      <c r="K11" s="7">
        <v>1</v>
      </c>
      <c r="L11" s="7" t="s">
        <v>25</v>
      </c>
    </row>
    <row r="12" spans="1:12">
      <c r="A12" s="7" t="s">
        <v>26</v>
      </c>
      <c r="B12" s="2">
        <v>1</v>
      </c>
      <c r="C12" s="2">
        <v>0</v>
      </c>
      <c r="D12" s="2">
        <f t="shared" si="2"/>
        <v>0</v>
      </c>
      <c r="E12" s="2">
        <v>0</v>
      </c>
      <c r="F12" s="2">
        <v>0</v>
      </c>
      <c r="G12" s="2">
        <f t="shared" si="0"/>
        <v>1</v>
      </c>
      <c r="H12" s="2">
        <v>1</v>
      </c>
      <c r="I12" s="2">
        <v>0</v>
      </c>
      <c r="J12" s="2">
        <f t="shared" si="1"/>
        <v>0</v>
      </c>
      <c r="K12" s="7">
        <v>1</v>
      </c>
      <c r="L12" s="7" t="s">
        <v>27</v>
      </c>
    </row>
    <row r="13" spans="1:12">
      <c r="A13" s="7" t="s">
        <v>28</v>
      </c>
      <c r="B13" s="2">
        <v>1</v>
      </c>
      <c r="C13" s="2">
        <v>0</v>
      </c>
      <c r="D13" s="2">
        <f t="shared" si="2"/>
        <v>0</v>
      </c>
      <c r="E13" s="2">
        <v>1</v>
      </c>
      <c r="F13" s="2">
        <v>0</v>
      </c>
      <c r="G13" s="2">
        <f t="shared" si="0"/>
        <v>0</v>
      </c>
      <c r="H13" s="2">
        <v>1</v>
      </c>
      <c r="I13" s="2">
        <v>0</v>
      </c>
      <c r="J13" s="2">
        <f t="shared" si="1"/>
        <v>0</v>
      </c>
      <c r="K13" s="7">
        <v>1</v>
      </c>
      <c r="L13" s="7" t="s">
        <v>21</v>
      </c>
    </row>
    <row r="14" spans="1:12">
      <c r="A14" s="7" t="s">
        <v>29</v>
      </c>
      <c r="B14" s="2">
        <v>0</v>
      </c>
      <c r="C14" s="2">
        <v>1</v>
      </c>
      <c r="D14" s="2">
        <f t="shared" si="2"/>
        <v>1</v>
      </c>
      <c r="E14" s="2">
        <v>0</v>
      </c>
      <c r="F14" s="2">
        <v>1</v>
      </c>
      <c r="G14" s="2">
        <f t="shared" si="0"/>
        <v>1</v>
      </c>
      <c r="H14" s="2">
        <v>1</v>
      </c>
      <c r="I14" s="2">
        <v>0</v>
      </c>
      <c r="J14" s="2">
        <f t="shared" si="1"/>
        <v>0</v>
      </c>
      <c r="K14" s="7">
        <v>1</v>
      </c>
      <c r="L14" s="7" t="s">
        <v>30</v>
      </c>
    </row>
    <row r="15" spans="1:12">
      <c r="A15" s="7" t="s">
        <v>31</v>
      </c>
      <c r="B15" s="2">
        <v>1</v>
      </c>
      <c r="C15" s="2">
        <v>0</v>
      </c>
      <c r="D15" s="2">
        <f t="shared" si="2"/>
        <v>0</v>
      </c>
      <c r="E15" s="2">
        <v>1</v>
      </c>
      <c r="F15" s="2">
        <v>0</v>
      </c>
      <c r="G15" s="2">
        <f t="shared" si="0"/>
        <v>0</v>
      </c>
      <c r="H15" s="2">
        <v>1</v>
      </c>
      <c r="I15" s="2">
        <v>0</v>
      </c>
      <c r="J15" s="2">
        <f t="shared" si="1"/>
        <v>0</v>
      </c>
      <c r="K15" s="7">
        <v>1</v>
      </c>
      <c r="L15" s="7" t="s">
        <v>32</v>
      </c>
    </row>
    <row r="16" spans="1:12">
      <c r="A16" s="7" t="s">
        <v>33</v>
      </c>
      <c r="B16" s="2">
        <v>1</v>
      </c>
      <c r="C16" s="2">
        <v>1</v>
      </c>
      <c r="D16" s="2">
        <f t="shared" si="2"/>
        <v>0</v>
      </c>
      <c r="E16" s="2">
        <v>1</v>
      </c>
      <c r="F16" s="2">
        <v>0</v>
      </c>
      <c r="G16" s="2">
        <f t="shared" si="0"/>
        <v>0</v>
      </c>
      <c r="H16" s="2">
        <v>1</v>
      </c>
      <c r="I16" s="2">
        <v>1</v>
      </c>
      <c r="J16" s="2">
        <f t="shared" si="1"/>
        <v>0</v>
      </c>
      <c r="K16" s="7">
        <v>1</v>
      </c>
      <c r="L16" s="7" t="s">
        <v>21</v>
      </c>
    </row>
    <row r="17" spans="1:12">
      <c r="A17" s="7" t="s">
        <v>34</v>
      </c>
      <c r="B17" s="2">
        <v>1</v>
      </c>
      <c r="C17" s="2">
        <v>0</v>
      </c>
      <c r="D17" s="2">
        <f t="shared" si="2"/>
        <v>0</v>
      </c>
      <c r="E17" s="2">
        <v>1</v>
      </c>
      <c r="F17" s="2">
        <v>0</v>
      </c>
      <c r="G17" s="2">
        <f t="shared" si="0"/>
        <v>0</v>
      </c>
      <c r="H17" s="2">
        <v>1</v>
      </c>
      <c r="I17" s="2">
        <v>0</v>
      </c>
      <c r="J17" s="2">
        <f t="shared" si="1"/>
        <v>0</v>
      </c>
      <c r="K17" s="7">
        <v>1</v>
      </c>
      <c r="L17" s="7" t="s">
        <v>21</v>
      </c>
    </row>
    <row r="18" spans="1:11">
      <c r="A18" s="2" t="s">
        <v>35</v>
      </c>
      <c r="B18" s="2">
        <f>SUM(B3:B17)</f>
        <v>10</v>
      </c>
      <c r="C18" s="2">
        <f>SUM(C3:C17)</f>
        <v>3</v>
      </c>
      <c r="D18" s="2">
        <f>SUM(D3:D17)</f>
        <v>6</v>
      </c>
      <c r="E18" s="2">
        <f>SUM(E3:E17)</f>
        <v>12</v>
      </c>
      <c r="F18" s="2">
        <f>SUM(F3:F17)</f>
        <v>2</v>
      </c>
      <c r="G18" s="2">
        <f t="shared" ref="E18:K18" si="3">SUM(G3:G17)</f>
        <v>4</v>
      </c>
      <c r="H18" s="2">
        <f t="shared" si="3"/>
        <v>14</v>
      </c>
      <c r="I18" s="2">
        <f t="shared" si="3"/>
        <v>2</v>
      </c>
      <c r="J18" s="2">
        <f t="shared" si="3"/>
        <v>2</v>
      </c>
      <c r="K18" s="2">
        <f t="shared" si="3"/>
        <v>16</v>
      </c>
    </row>
    <row r="19" spans="1:8">
      <c r="A19" s="2" t="s">
        <v>36</v>
      </c>
      <c r="B19" s="2">
        <f>B18/(B18+C18)</f>
        <v>0.769230769230769</v>
      </c>
      <c r="E19" s="3">
        <f>E18/(E18+F18)</f>
        <v>0.857142857142857</v>
      </c>
      <c r="H19" s="3">
        <f>H18/(H18+I18)</f>
        <v>0.875</v>
      </c>
    </row>
    <row r="20" spans="1:8">
      <c r="A20" s="2" t="s">
        <v>37</v>
      </c>
      <c r="B20" s="2">
        <f>B18/(B18+D18)</f>
        <v>0.625</v>
      </c>
      <c r="E20" s="3">
        <f>E18/(E18+G18)</f>
        <v>0.75</v>
      </c>
      <c r="H20" s="3">
        <f>H18/(H18+J18)</f>
        <v>0.875</v>
      </c>
    </row>
    <row r="21" spans="1:8">
      <c r="A21" s="2" t="s">
        <v>38</v>
      </c>
      <c r="B21" s="2">
        <f>2*B19*B20/(B19+B20)</f>
        <v>0.689655172413793</v>
      </c>
      <c r="E21" s="3">
        <f>2*E19*E20/(E19+E20)</f>
        <v>0.8</v>
      </c>
      <c r="H21" s="3">
        <f>2*H19*H20/(H19+H20)</f>
        <v>0.875</v>
      </c>
    </row>
  </sheetData>
  <mergeCells count="6">
    <mergeCell ref="B1:D1"/>
    <mergeCell ref="E1:G1"/>
    <mergeCell ref="H1:J1"/>
    <mergeCell ref="A1:A2"/>
    <mergeCell ref="K1:K2"/>
    <mergeCell ref="L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I22" sqref="I22"/>
    </sheetView>
  </sheetViews>
  <sheetFormatPr defaultColWidth="9" defaultRowHeight="14"/>
  <cols>
    <col min="1" max="1" width="41.8909090909091" style="1" customWidth="1"/>
    <col min="2" max="2" width="12.6636363636364" style="1" customWidth="1"/>
    <col min="3" max="3" width="7.78181818181818" style="1" customWidth="1"/>
    <col min="4" max="4" width="8.21818181818182" style="1" customWidth="1"/>
    <col min="5" max="5" width="8.66363636363636" style="1" customWidth="1"/>
    <col min="6" max="6" width="7.55454545454545" style="1" customWidth="1"/>
    <col min="7" max="7" width="9.55454545454545" style="1" customWidth="1"/>
    <col min="8" max="8" width="7.55454545454545" style="1" customWidth="1"/>
    <col min="9" max="9" width="10.7818181818182" style="1" customWidth="1"/>
    <col min="10" max="10" width="9.66363636363636" style="1" customWidth="1"/>
    <col min="11" max="11" width="23.6636363636364" style="1" customWidth="1"/>
    <col min="12" max="12" width="27" style="1" customWidth="1"/>
    <col min="13" max="16384" width="9" style="1"/>
  </cols>
  <sheetData>
    <row r="1" spans="1:12">
      <c r="A1" s="2" t="s">
        <v>39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4" t="s">
        <v>4</v>
      </c>
      <c r="L1" s="4" t="s">
        <v>5</v>
      </c>
    </row>
    <row r="2" spans="1:12">
      <c r="A2" s="2"/>
      <c r="B2" s="2" t="s">
        <v>6</v>
      </c>
      <c r="C2" s="2" t="s">
        <v>7</v>
      </c>
      <c r="D2" s="2" t="s">
        <v>8</v>
      </c>
      <c r="E2" s="2" t="s">
        <v>6</v>
      </c>
      <c r="F2" s="2" t="s">
        <v>7</v>
      </c>
      <c r="G2" s="2" t="s">
        <v>8</v>
      </c>
      <c r="H2" s="2" t="s">
        <v>6</v>
      </c>
      <c r="I2" s="2" t="s">
        <v>7</v>
      </c>
      <c r="J2" s="2" t="s">
        <v>8</v>
      </c>
      <c r="K2" s="4"/>
      <c r="L2" s="4"/>
    </row>
    <row r="3" spans="1:12">
      <c r="A3" s="2" t="s">
        <v>40</v>
      </c>
      <c r="B3" s="2">
        <v>1</v>
      </c>
      <c r="C3" s="2">
        <v>2</v>
      </c>
      <c r="D3" s="2">
        <f>K3-B3</f>
        <v>0</v>
      </c>
      <c r="E3" s="2">
        <v>1</v>
      </c>
      <c r="F3" s="2">
        <v>2</v>
      </c>
      <c r="G3" s="2">
        <f>K3-E3</f>
        <v>0</v>
      </c>
      <c r="H3" s="2">
        <v>1</v>
      </c>
      <c r="I3" s="2">
        <v>2</v>
      </c>
      <c r="J3" s="2">
        <f>K3-H3</f>
        <v>0</v>
      </c>
      <c r="K3" s="2">
        <v>1</v>
      </c>
      <c r="L3" s="2" t="s">
        <v>41</v>
      </c>
    </row>
    <row r="4" ht="28" spans="1:12">
      <c r="A4" s="2" t="s">
        <v>42</v>
      </c>
      <c r="B4" s="2">
        <v>2</v>
      </c>
      <c r="C4" s="2">
        <v>0</v>
      </c>
      <c r="D4" s="2">
        <f t="shared" ref="D4:D20" si="0">K4-B4</f>
        <v>0</v>
      </c>
      <c r="E4" s="2">
        <v>2</v>
      </c>
      <c r="F4" s="2">
        <v>0</v>
      </c>
      <c r="G4" s="2">
        <f t="shared" ref="G4:G20" si="1">K4-E4</f>
        <v>0</v>
      </c>
      <c r="H4" s="2">
        <v>2</v>
      </c>
      <c r="I4" s="2">
        <v>0</v>
      </c>
      <c r="J4" s="2">
        <f t="shared" ref="J4:J20" si="2">K4-H4</f>
        <v>0</v>
      </c>
      <c r="K4" s="2">
        <v>2</v>
      </c>
      <c r="L4" s="5" t="s">
        <v>43</v>
      </c>
    </row>
    <row r="5" spans="1:12">
      <c r="A5" s="2" t="s">
        <v>44</v>
      </c>
      <c r="B5" s="2">
        <v>1</v>
      </c>
      <c r="C5" s="2">
        <v>0</v>
      </c>
      <c r="D5" s="2">
        <f t="shared" si="0"/>
        <v>0</v>
      </c>
      <c r="E5" s="2">
        <v>1</v>
      </c>
      <c r="F5" s="2">
        <v>0</v>
      </c>
      <c r="G5" s="2">
        <f t="shared" si="1"/>
        <v>0</v>
      </c>
      <c r="H5" s="2">
        <v>1</v>
      </c>
      <c r="I5" s="2">
        <v>0</v>
      </c>
      <c r="J5" s="2">
        <f t="shared" si="2"/>
        <v>0</v>
      </c>
      <c r="K5" s="2">
        <v>1</v>
      </c>
      <c r="L5" s="2" t="s">
        <v>45</v>
      </c>
    </row>
    <row r="6" spans="1:12">
      <c r="A6" s="2" t="s">
        <v>46</v>
      </c>
      <c r="B6" s="2">
        <v>1</v>
      </c>
      <c r="C6" s="2">
        <v>0</v>
      </c>
      <c r="D6" s="2">
        <f t="shared" si="0"/>
        <v>0</v>
      </c>
      <c r="E6" s="2">
        <v>1</v>
      </c>
      <c r="F6" s="2">
        <v>0</v>
      </c>
      <c r="G6" s="2">
        <f t="shared" si="1"/>
        <v>0</v>
      </c>
      <c r="H6" s="2">
        <v>0</v>
      </c>
      <c r="I6" s="2">
        <v>0</v>
      </c>
      <c r="J6" s="2">
        <f t="shared" si="2"/>
        <v>1</v>
      </c>
      <c r="K6" s="2">
        <v>1</v>
      </c>
      <c r="L6" s="2" t="s">
        <v>47</v>
      </c>
    </row>
    <row r="7" spans="1:12">
      <c r="A7" s="2" t="s">
        <v>48</v>
      </c>
      <c r="B7" s="2">
        <v>1</v>
      </c>
      <c r="C7" s="2">
        <v>0</v>
      </c>
      <c r="D7" s="2">
        <f t="shared" si="0"/>
        <v>0</v>
      </c>
      <c r="E7" s="2">
        <v>1</v>
      </c>
      <c r="F7" s="2">
        <v>0</v>
      </c>
      <c r="G7" s="2">
        <f t="shared" si="1"/>
        <v>0</v>
      </c>
      <c r="H7" s="2">
        <v>1</v>
      </c>
      <c r="I7" s="2">
        <v>0</v>
      </c>
      <c r="J7" s="2">
        <f t="shared" si="2"/>
        <v>0</v>
      </c>
      <c r="K7" s="2">
        <v>1</v>
      </c>
      <c r="L7" s="2" t="s">
        <v>49</v>
      </c>
    </row>
    <row r="8" spans="1:12">
      <c r="A8" s="2" t="s">
        <v>50</v>
      </c>
      <c r="B8" s="2">
        <v>0</v>
      </c>
      <c r="C8" s="2">
        <v>1</v>
      </c>
      <c r="D8" s="2">
        <f t="shared" si="0"/>
        <v>1</v>
      </c>
      <c r="E8" s="2">
        <v>0</v>
      </c>
      <c r="F8" s="2">
        <v>1</v>
      </c>
      <c r="G8" s="2">
        <f t="shared" si="1"/>
        <v>1</v>
      </c>
      <c r="H8" s="2">
        <v>0</v>
      </c>
      <c r="I8" s="2">
        <v>1</v>
      </c>
      <c r="J8" s="2">
        <f t="shared" si="2"/>
        <v>1</v>
      </c>
      <c r="K8" s="2">
        <v>1</v>
      </c>
      <c r="L8" s="2" t="s">
        <v>51</v>
      </c>
    </row>
    <row r="9" spans="1:12">
      <c r="A9" s="2" t="s">
        <v>52</v>
      </c>
      <c r="B9" s="2">
        <v>1</v>
      </c>
      <c r="C9" s="2">
        <v>0</v>
      </c>
      <c r="D9" s="2">
        <f t="shared" si="0"/>
        <v>0</v>
      </c>
      <c r="E9" s="2">
        <v>1</v>
      </c>
      <c r="F9" s="2">
        <v>0</v>
      </c>
      <c r="G9" s="2">
        <f t="shared" si="1"/>
        <v>0</v>
      </c>
      <c r="H9" s="2">
        <v>1</v>
      </c>
      <c r="I9" s="2">
        <v>0</v>
      </c>
      <c r="J9" s="2">
        <f t="shared" si="2"/>
        <v>0</v>
      </c>
      <c r="K9" s="2">
        <v>1</v>
      </c>
      <c r="L9" s="2" t="s">
        <v>53</v>
      </c>
    </row>
    <row r="10" spans="1:12">
      <c r="A10" s="2" t="s">
        <v>54</v>
      </c>
      <c r="B10" s="2">
        <v>1</v>
      </c>
      <c r="C10" s="2">
        <v>0</v>
      </c>
      <c r="D10" s="2">
        <f t="shared" si="0"/>
        <v>0</v>
      </c>
      <c r="E10" s="2">
        <v>1</v>
      </c>
      <c r="F10" s="2">
        <v>0</v>
      </c>
      <c r="G10" s="2">
        <f t="shared" si="1"/>
        <v>0</v>
      </c>
      <c r="H10" s="2">
        <v>1</v>
      </c>
      <c r="I10" s="2">
        <v>0</v>
      </c>
      <c r="J10" s="2">
        <f t="shared" si="2"/>
        <v>0</v>
      </c>
      <c r="K10" s="2">
        <v>1</v>
      </c>
      <c r="L10" s="2" t="s">
        <v>55</v>
      </c>
    </row>
    <row r="11" ht="28" spans="1:12">
      <c r="A11" s="2" t="s">
        <v>56</v>
      </c>
      <c r="B11" s="2">
        <v>1</v>
      </c>
      <c r="C11" s="2">
        <v>0</v>
      </c>
      <c r="D11" s="2">
        <f t="shared" si="0"/>
        <v>1</v>
      </c>
      <c r="E11" s="2">
        <v>1</v>
      </c>
      <c r="F11" s="2">
        <v>0</v>
      </c>
      <c r="G11" s="2">
        <f t="shared" si="1"/>
        <v>1</v>
      </c>
      <c r="H11" s="2">
        <v>1</v>
      </c>
      <c r="I11" s="2">
        <v>0</v>
      </c>
      <c r="J11" s="2">
        <f t="shared" si="2"/>
        <v>1</v>
      </c>
      <c r="K11" s="2">
        <v>2</v>
      </c>
      <c r="L11" s="5" t="s">
        <v>57</v>
      </c>
    </row>
    <row r="12" ht="28" spans="1:12">
      <c r="A12" s="2" t="s">
        <v>58</v>
      </c>
      <c r="B12" s="2">
        <v>0</v>
      </c>
      <c r="C12" s="2">
        <v>0</v>
      </c>
      <c r="D12" s="2">
        <f t="shared" si="0"/>
        <v>2</v>
      </c>
      <c r="E12" s="2">
        <v>0</v>
      </c>
      <c r="F12" s="2">
        <v>0</v>
      </c>
      <c r="G12" s="2">
        <f t="shared" si="1"/>
        <v>2</v>
      </c>
      <c r="H12" s="2">
        <v>0</v>
      </c>
      <c r="I12" s="2">
        <v>0</v>
      </c>
      <c r="J12" s="2">
        <f t="shared" si="2"/>
        <v>2</v>
      </c>
      <c r="K12" s="2">
        <v>2</v>
      </c>
      <c r="L12" s="5" t="s">
        <v>59</v>
      </c>
    </row>
    <row r="13" spans="1:12">
      <c r="A13" s="2" t="s">
        <v>60</v>
      </c>
      <c r="B13" s="2">
        <v>1</v>
      </c>
      <c r="C13" s="2">
        <v>0</v>
      </c>
      <c r="D13" s="2">
        <f t="shared" si="0"/>
        <v>0</v>
      </c>
      <c r="E13" s="2">
        <v>1</v>
      </c>
      <c r="F13" s="2">
        <v>0</v>
      </c>
      <c r="G13" s="2">
        <f t="shared" si="1"/>
        <v>0</v>
      </c>
      <c r="H13" s="2">
        <v>1</v>
      </c>
      <c r="I13" s="2">
        <v>0</v>
      </c>
      <c r="J13" s="2">
        <f t="shared" si="2"/>
        <v>0</v>
      </c>
      <c r="K13" s="2">
        <v>1</v>
      </c>
      <c r="L13" s="2" t="s">
        <v>61</v>
      </c>
    </row>
    <row r="14" spans="1:12">
      <c r="A14" s="2" t="s">
        <v>62</v>
      </c>
      <c r="B14" s="2">
        <v>1</v>
      </c>
      <c r="C14" s="2">
        <v>0</v>
      </c>
      <c r="D14" s="2">
        <f t="shared" si="0"/>
        <v>0</v>
      </c>
      <c r="E14" s="2">
        <v>1</v>
      </c>
      <c r="F14" s="2">
        <v>0</v>
      </c>
      <c r="G14" s="2">
        <f t="shared" si="1"/>
        <v>0</v>
      </c>
      <c r="H14" s="2">
        <v>1</v>
      </c>
      <c r="I14" s="2">
        <v>0</v>
      </c>
      <c r="J14" s="2">
        <f t="shared" si="2"/>
        <v>0</v>
      </c>
      <c r="K14" s="2">
        <v>1</v>
      </c>
      <c r="L14" s="2" t="s">
        <v>63</v>
      </c>
    </row>
    <row r="15" spans="1:12">
      <c r="A15" s="2" t="s">
        <v>64</v>
      </c>
      <c r="B15" s="2">
        <v>1</v>
      </c>
      <c r="C15" s="2">
        <v>0</v>
      </c>
      <c r="D15" s="2">
        <f t="shared" si="0"/>
        <v>0</v>
      </c>
      <c r="E15" s="2">
        <v>1</v>
      </c>
      <c r="F15" s="2">
        <v>0</v>
      </c>
      <c r="G15" s="2">
        <f t="shared" si="1"/>
        <v>0</v>
      </c>
      <c r="H15" s="2">
        <v>1</v>
      </c>
      <c r="I15" s="2">
        <v>0</v>
      </c>
      <c r="J15" s="2">
        <f t="shared" si="2"/>
        <v>0</v>
      </c>
      <c r="K15" s="2">
        <v>1</v>
      </c>
      <c r="L15" s="2" t="s">
        <v>65</v>
      </c>
    </row>
    <row r="16" spans="1:12">
      <c r="A16" s="2" t="s">
        <v>66</v>
      </c>
      <c r="B16" s="2">
        <v>1</v>
      </c>
      <c r="C16" s="2">
        <v>0</v>
      </c>
      <c r="D16" s="2">
        <f t="shared" si="0"/>
        <v>0</v>
      </c>
      <c r="E16" s="2">
        <v>1</v>
      </c>
      <c r="F16" s="2">
        <v>0</v>
      </c>
      <c r="G16" s="2">
        <f t="shared" si="1"/>
        <v>0</v>
      </c>
      <c r="H16" s="2">
        <v>1</v>
      </c>
      <c r="I16" s="2">
        <v>0</v>
      </c>
      <c r="J16" s="2">
        <f t="shared" si="2"/>
        <v>0</v>
      </c>
      <c r="K16" s="2">
        <v>1</v>
      </c>
      <c r="L16" s="2" t="s">
        <v>67</v>
      </c>
    </row>
    <row r="17" spans="1:12">
      <c r="A17" s="2" t="s">
        <v>68</v>
      </c>
      <c r="B17" s="2">
        <v>1</v>
      </c>
      <c r="C17" s="2">
        <v>0</v>
      </c>
      <c r="D17" s="2">
        <f t="shared" si="0"/>
        <v>0</v>
      </c>
      <c r="E17" s="2">
        <v>1</v>
      </c>
      <c r="F17" s="2">
        <v>0</v>
      </c>
      <c r="G17" s="2">
        <f t="shared" si="1"/>
        <v>0</v>
      </c>
      <c r="H17" s="2">
        <v>1</v>
      </c>
      <c r="I17" s="2">
        <v>0</v>
      </c>
      <c r="J17" s="2">
        <f t="shared" si="2"/>
        <v>0</v>
      </c>
      <c r="K17" s="2">
        <v>1</v>
      </c>
      <c r="L17" s="2" t="s">
        <v>69</v>
      </c>
    </row>
    <row r="18" spans="1:12">
      <c r="A18" s="2" t="s">
        <v>70</v>
      </c>
      <c r="B18" s="2">
        <v>0</v>
      </c>
      <c r="C18" s="2">
        <v>0</v>
      </c>
      <c r="D18" s="2">
        <f t="shared" si="0"/>
        <v>1</v>
      </c>
      <c r="E18" s="2">
        <v>0</v>
      </c>
      <c r="F18" s="2">
        <v>1</v>
      </c>
      <c r="G18" s="2">
        <f t="shared" si="1"/>
        <v>1</v>
      </c>
      <c r="H18" s="2">
        <v>0</v>
      </c>
      <c r="I18" s="2">
        <v>0</v>
      </c>
      <c r="J18" s="2">
        <f t="shared" si="2"/>
        <v>1</v>
      </c>
      <c r="K18" s="2">
        <v>1</v>
      </c>
      <c r="L18" s="2" t="s">
        <v>71</v>
      </c>
    </row>
    <row r="19" spans="1:12">
      <c r="A19" s="2" t="s">
        <v>72</v>
      </c>
      <c r="B19" s="2">
        <v>1</v>
      </c>
      <c r="C19" s="2">
        <v>0</v>
      </c>
      <c r="D19" s="2">
        <f t="shared" si="0"/>
        <v>0</v>
      </c>
      <c r="E19" s="2">
        <v>1</v>
      </c>
      <c r="F19" s="2">
        <v>0</v>
      </c>
      <c r="G19" s="2">
        <f t="shared" si="1"/>
        <v>0</v>
      </c>
      <c r="H19" s="2">
        <v>1</v>
      </c>
      <c r="I19" s="2">
        <v>0</v>
      </c>
      <c r="J19" s="2">
        <f t="shared" si="2"/>
        <v>0</v>
      </c>
      <c r="K19" s="2">
        <v>1</v>
      </c>
      <c r="L19" s="2" t="s">
        <v>73</v>
      </c>
    </row>
    <row r="20" spans="1:12">
      <c r="A20" s="2" t="s">
        <v>74</v>
      </c>
      <c r="B20" s="2">
        <v>0</v>
      </c>
      <c r="C20" s="2">
        <v>0</v>
      </c>
      <c r="D20" s="2">
        <f t="shared" si="0"/>
        <v>1</v>
      </c>
      <c r="E20" s="2">
        <v>0</v>
      </c>
      <c r="F20" s="2">
        <v>0</v>
      </c>
      <c r="G20" s="2">
        <f t="shared" si="1"/>
        <v>1</v>
      </c>
      <c r="H20" s="2">
        <v>0</v>
      </c>
      <c r="I20" s="2">
        <v>0</v>
      </c>
      <c r="J20" s="2">
        <f t="shared" si="2"/>
        <v>1</v>
      </c>
      <c r="K20" s="2">
        <v>1</v>
      </c>
      <c r="L20" s="2" t="s">
        <v>75</v>
      </c>
    </row>
    <row r="21" spans="1:11">
      <c r="A21" s="2" t="s">
        <v>35</v>
      </c>
      <c r="B21" s="1">
        <f>SUM(B3:B20)</f>
        <v>15</v>
      </c>
      <c r="C21" s="1">
        <f>SUM(C3:C20)</f>
        <v>3</v>
      </c>
      <c r="D21" s="1">
        <f>SUM(D3:D20)</f>
        <v>6</v>
      </c>
      <c r="E21" s="1">
        <f>SUM(E3:E20)</f>
        <v>15</v>
      </c>
      <c r="F21" s="1">
        <f>SUM(F3:F20)</f>
        <v>4</v>
      </c>
      <c r="G21" s="1">
        <f>SUM(G3:G20)</f>
        <v>6</v>
      </c>
      <c r="H21" s="1">
        <f>SUM(H3:H20)</f>
        <v>14</v>
      </c>
      <c r="I21" s="1">
        <f>SUM(I3:I20)</f>
        <v>3</v>
      </c>
      <c r="J21" s="1">
        <f>SUM(J3:J20)</f>
        <v>7</v>
      </c>
      <c r="K21" s="1">
        <f>SUM(K3:K20)</f>
        <v>21</v>
      </c>
    </row>
    <row r="22" spans="1:8">
      <c r="A22" s="2" t="s">
        <v>36</v>
      </c>
      <c r="B22" s="3">
        <f>B21/(B21+C21)</f>
        <v>0.833333333333333</v>
      </c>
      <c r="E22" s="3">
        <f>E21/(E21+F21)</f>
        <v>0.789473684210526</v>
      </c>
      <c r="H22" s="3">
        <f>H21/(H21+I21)</f>
        <v>0.823529411764706</v>
      </c>
    </row>
    <row r="23" spans="1:8">
      <c r="A23" s="2" t="s">
        <v>37</v>
      </c>
      <c r="B23" s="3">
        <f>B21/(B21+D21)</f>
        <v>0.714285714285714</v>
      </c>
      <c r="E23" s="3">
        <f>E21/(E21+G21)</f>
        <v>0.714285714285714</v>
      </c>
      <c r="H23" s="3">
        <f>H21/(H21+J21)</f>
        <v>0.666666666666667</v>
      </c>
    </row>
    <row r="24" spans="1:8">
      <c r="A24" s="2" t="s">
        <v>38</v>
      </c>
      <c r="B24" s="3">
        <f>2*B22*B23/(B22+B23)</f>
        <v>0.769230769230769</v>
      </c>
      <c r="E24" s="3">
        <f>2*E22*E23/(E22+E23)</f>
        <v>0.75</v>
      </c>
      <c r="H24" s="3">
        <f>2*H22*H23/(H22+H23)</f>
        <v>0.736842105263158</v>
      </c>
    </row>
  </sheetData>
  <mergeCells count="6">
    <mergeCell ref="B1:D1"/>
    <mergeCell ref="E1:G1"/>
    <mergeCell ref="H1:J1"/>
    <mergeCell ref="A1:A2"/>
    <mergeCell ref="K1:K2"/>
    <mergeCell ref="L1:L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CVE</vt:lpstr>
      <vt:lpstr>smartbug_curated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76405</dc:creator>
  <cp:lastModifiedBy>刘雨松</cp:lastModifiedBy>
  <dcterms:created xsi:type="dcterms:W3CDTF">2023-05-12T11:15:00Z</dcterms:created>
  <dcterms:modified xsi:type="dcterms:W3CDTF">2025-10-23T01:44:53Z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0DD2A96584C04088B848582AF4242F40_12</vt:lpwstr>
  </property>
</Properties>
</file>