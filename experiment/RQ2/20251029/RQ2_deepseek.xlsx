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2600" windowHeight="12880" activeTab="1"/>
  </bookViews>
  <sheets>
    <sheet name="CVE" sheetId="1" r:id="rId1"/>
    <sheet name="smartbug_curated" sheetId="2" r:id="rId2"/>
    <sheet name="code4ren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<sst xmlns="http://schemas.openxmlformats.org/spreadsheetml/2006/main" count="526" uniqueCount="367">
  <si>
    <t>CVE</t>
  </si>
  <si>
    <t>Deepseek 1</t>
  </si>
  <si>
    <t>Deepseek 2</t>
  </si>
  <si>
    <t>Deepseek 3</t>
  </si>
  <si>
    <t>Vulnerability 
Number</t>
  </si>
  <si>
    <t>Vulnerability 
Function</t>
  </si>
  <si>
    <t>Suspicious</t>
  </si>
  <si>
    <t>TP</t>
  </si>
  <si>
    <t>FP</t>
  </si>
  <si>
    <t>FN</t>
  </si>
  <si>
    <t>CVE-2018-10666</t>
  </si>
  <si>
    <t>1</t>
  </si>
  <si>
    <t>setOwner()</t>
  </si>
  <si>
    <t>CVE-2018-10705</t>
  </si>
  <si>
    <t>CVE-2018-11329</t>
  </si>
  <si>
    <t>DrugDealer()</t>
  </si>
  <si>
    <t>seedMarket</t>
  </si>
  <si>
    <t>CVE-2018-19830</t>
  </si>
  <si>
    <t>UBSexToken()</t>
  </si>
  <si>
    <t>CVE-2018-19831</t>
  </si>
  <si>
    <t>2</t>
  </si>
  <si>
    <t>ToOwner()
Mining24()</t>
  </si>
  <si>
    <t xml:space="preserve">CVE-2018-19832	</t>
  </si>
  <si>
    <t>NETM()</t>
  </si>
  <si>
    <t>CVE-2018-19833</t>
  </si>
  <si>
    <t>owned()</t>
  </si>
  <si>
    <t>CVE-2018-19834</t>
  </si>
  <si>
    <t>quaker()</t>
  </si>
  <si>
    <t>CVE-2019-15078</t>
  </si>
  <si>
    <t>XBornID()</t>
  </si>
  <si>
    <t>CVE-2019-15079</t>
  </si>
  <si>
    <t>EAI_TokenERC20()</t>
  </si>
  <si>
    <t>CVE-2019-15080</t>
  </si>
  <si>
    <t>CVE-2020-17753</t>
  </si>
  <si>
    <t>addMeByRC()</t>
  </si>
  <si>
    <t>CVE-2020-35962</t>
  </si>
  <si>
    <t>sellTokenForLRC()</t>
  </si>
  <si>
    <t>CVE-2021-34272</t>
  </si>
  <si>
    <t>CVE-2021-34273</t>
  </si>
  <si>
    <t>Sum</t>
  </si>
  <si>
    <t>0</t>
  </si>
  <si>
    <t>16</t>
  </si>
  <si>
    <t>Precision</t>
  </si>
  <si>
    <t>Recall</t>
  </si>
  <si>
    <t xml:space="preserve">0.000 </t>
  </si>
  <si>
    <t>F1</t>
  </si>
  <si>
    <t>contract</t>
  </si>
  <si>
    <t>arbitrary_location_write_simple.sol</t>
  </si>
  <si>
    <t>PopBonusCode()</t>
  </si>
  <si>
    <t>FibonacciBalance.sol</t>
  </si>
  <si>
    <t>withdraw()
Fallback</t>
  </si>
  <si>
    <t>incorrect_constructor_name1.sol</t>
  </si>
  <si>
    <t>IamMissing()</t>
  </si>
  <si>
    <t>incorrect_constructor_name2.sol</t>
  </si>
  <si>
    <t>missing()</t>
  </si>
  <si>
    <t>incorrect_constructor_name3.sol</t>
  </si>
  <si>
    <t>Constructor()</t>
  </si>
  <si>
    <t>mapping_write.sol</t>
  </si>
  <si>
    <t>set()</t>
  </si>
  <si>
    <t>multiowned_vulnerable.sol</t>
  </si>
  <si>
    <t>newOwner()</t>
  </si>
  <si>
    <t>mycontract.sol</t>
  </si>
  <si>
    <t>sendTo()</t>
  </si>
  <si>
    <t>parity_wallet_bug_1.sol</t>
  </si>
  <si>
    <t>initWallet()
Fallback</t>
  </si>
  <si>
    <t>parity_wallet_bug_2.sol</t>
  </si>
  <si>
    <t>initWallet()
kill()</t>
  </si>
  <si>
    <t>phishable.sol</t>
  </si>
  <si>
    <t>withdrawAll()</t>
  </si>
  <si>
    <t>proxy.sol</t>
  </si>
  <si>
    <t>forward()</t>
  </si>
  <si>
    <t>rubixi.sol</t>
  </si>
  <si>
    <t>DynamicPyramid()</t>
  </si>
  <si>
    <t>simple_suicide.sol</t>
  </si>
  <si>
    <t>sudicideAnyone()</t>
  </si>
  <si>
    <t>unprotected0.sol</t>
  </si>
  <si>
    <t>changeOwner()</t>
  </si>
  <si>
    <t>wallet_02_refund_nosub.sol</t>
  </si>
  <si>
    <t>refund()</t>
  </si>
  <si>
    <t>wallet_03_wrong_constructor.sol</t>
  </si>
  <si>
    <t>initWallet()</t>
  </si>
  <si>
    <t>wallet_04_confused_sign.sol</t>
  </si>
  <si>
    <t>withdraw()</t>
  </si>
  <si>
    <t>21</t>
  </si>
  <si>
    <t>Project</t>
  </si>
  <si>
    <t>Description</t>
  </si>
  <si>
    <t>Affect</t>
  </si>
  <si>
    <t>2021-04-vader</t>
  </si>
  <si>
    <t>Pools.sol</t>
  </si>
  <si>
    <t>lockUnits</t>
  </si>
  <si>
    <t>缺少访问限制，攻击者可加锁或解锁代币</t>
  </si>
  <si>
    <t>unlockUnits</t>
  </si>
  <si>
    <t>removeLiquidity</t>
  </si>
  <si>
    <t>通过直接调用_removeLiquidity和removeLiquidityDirectly，用户无法获得无常损失（IL）
正常的调用顺序，应该从Router中走。但是Pool这里直接将可见性设置为external，导致任何人可以直接从这里调用</t>
  </si>
  <si>
    <t>removeLiquidityDirectly</t>
  </si>
  <si>
    <t>Router.sol</t>
  </si>
  <si>
    <t>listAnchor</t>
  </si>
  <si>
    <t>攻击者可以添加相同资产多次，从而在getAnchorPrice函数中，计算时，会受到影响</t>
  </si>
  <si>
    <t>2021-05-yield</t>
  </si>
  <si>
    <t>JoinFactory.sol</t>
  </si>
  <si>
    <t>createJoin</t>
  </si>
  <si>
    <t>JoinFactory::createJoin缺乏权限
Wand合约中的53行，addAsset，使用了createJoin
攻击者可以通过提前部署的方式造成Dos</t>
  </si>
  <si>
    <t>2021-06-gro</t>
  </si>
  <si>
    <t>Controller.sol</t>
  </si>
  <si>
    <t>distributeStrategyGainLoss</t>
  </si>
  <si>
    <t>require中用错了，用成了||</t>
  </si>
  <si>
    <t>2021-07-connext</t>
  </si>
  <si>
    <t>TransactionManager.sol</t>
  </si>
  <si>
    <t>addLiquidity</t>
  </si>
  <si>
    <t>任何人都可以添加路由流动性</t>
  </si>
  <si>
    <t>2021-07-spartan</t>
  </si>
  <si>
    <t>Dao.sol</t>
  </si>
  <si>
    <t>claimAllForMember</t>
  </si>
  <si>
    <t>允许任何人降低一个成员的股票权重</t>
  </si>
  <si>
    <t>2021-09-yaxis</t>
  </si>
  <si>
    <t>addStrategy</t>
  </si>
  <si>
    <t>缺少对 manager.allowedVaults 的检查
可以对任意金库地址进行操作</t>
  </si>
  <si>
    <t>removeStrategy</t>
  </si>
  <si>
    <t>2021-11-malt</t>
  </si>
  <si>
    <t>Bonding.sol</t>
  </si>
  <si>
    <t>bondToAccount</t>
  </si>
  <si>
    <t>_notSameBlock() 检查可以被规避
多个攻击合约,从而影响lastBlock[_msgSender()] = block.number;</t>
  </si>
  <si>
    <t>2021-11-unlock</t>
  </si>
  <si>
    <t>PublicLock.sol</t>
  </si>
  <si>
    <t>initialize</t>
  </si>
  <si>
    <t>攻击者抢先初始化</t>
  </si>
  <si>
    <t>2021-11-vader</t>
  </si>
  <si>
    <t>BasePoolV2.sol</t>
  </si>
  <si>
    <t>rescue</t>
  </si>
  <si>
    <t>资金损失</t>
  </si>
  <si>
    <t>VaderPoolV2.sol</t>
  </si>
  <si>
    <t>mintFungible</t>
  </si>
  <si>
    <t>攻击者操作其他用户钱包里的余额</t>
  </si>
  <si>
    <t>mintSynth</t>
  </si>
  <si>
    <t>2021-12-nftx</t>
  </si>
  <si>
    <t>NFTXVaultFactoryUpgradeable.sol</t>
  </si>
  <si>
    <t>assignFees</t>
  </si>
  <si>
    <t>当factoryMintFee 为0时，任何人都可以调用</t>
  </si>
  <si>
    <t>2022-01-behodler</t>
  </si>
  <si>
    <t>BurnFlashStakeDeposit.sol</t>
  </si>
  <si>
    <t>parameterize</t>
  </si>
  <si>
    <t>缺少访问控制
notCurrent在DAO
/ProposalFactory.sol中，不限制用户，只锁定自身为可读</t>
  </si>
  <si>
    <t>FlashGovernanceArbiter.sol</t>
  </si>
  <si>
    <t>assertGovernanceApproved</t>
  </si>
  <si>
    <t>攻击者可以锁定他人的资金</t>
  </si>
  <si>
    <t>2022-01-insure</t>
  </si>
  <si>
    <t>Registry.sol</t>
  </si>
  <si>
    <t>supportMarket</t>
  </si>
  <si>
    <t>通过supportMarket，随意提升martk用户
从而绕过onlyMartk，再通过addValue窃取资金</t>
  </si>
  <si>
    <t>Vault.sol</t>
  </si>
  <si>
    <t>utilize</t>
  </si>
  <si>
    <t>零地址，随意销毁代币</t>
  </si>
  <si>
    <t>2022-04-jpegd</t>
  </si>
  <si>
    <t>yVault.sol</t>
  </si>
  <si>
    <t>noContract</t>
  </si>
  <si>
    <t>可以在一个合约正在部署，也就是构造函数执行的过程中，进行绕过</t>
  </si>
  <si>
    <t>2022-05-backd</t>
  </si>
  <si>
    <t>Minter.sol</t>
  </si>
  <si>
    <t>executeInflationRateUpdate</t>
  </si>
  <si>
    <t>组合漏洞，从executeInflationRateUpdate绕过startInflation。
lastEvent和lastInflationDecay没有初始化，默认为0
如果executeInflationRateUpdate执行在前。则可以绕过startInflation</t>
  </si>
  <si>
    <t>2022-05-rubicon</t>
  </si>
  <si>
    <t>RubiconMarket.sol</t>
  </si>
  <si>
    <t>offer</t>
  </si>
  <si>
    <t>也可以被算为组合漏洞
先用offer创建订单，然后立刻使用insert操纵。这两个操作都没有被限制</t>
  </si>
  <si>
    <t>insert</t>
  </si>
  <si>
    <t>2022-06-yieldy</t>
  </si>
  <si>
    <t>Yieldy.sol</t>
  </si>
  <si>
    <t>transferFrom</t>
  </si>
  <si>
    <t>没有检查零地址，导致未授权的销毁代币</t>
  </si>
  <si>
    <t>2022-08-mimo</t>
  </si>
  <si>
    <t>MIMOAutoAction.sol</t>
  </si>
  <si>
    <t>setAutomation</t>
  </si>
  <si>
    <t>设置变量
没有被限制</t>
  </si>
  <si>
    <t>MIMOManagedAction.sol</t>
  </si>
  <si>
    <t>setManagement</t>
  </si>
  <si>
    <t>MIMOProxy.sol</t>
  </si>
  <si>
    <t>execute</t>
  </si>
  <si>
    <t>assembly {
        selector := calldataload(data.offset)
      }</t>
  </si>
  <si>
    <t>MIMOProxyFactory.sol</t>
  </si>
  <si>
    <t>deployFor</t>
  </si>
  <si>
    <t>设计逻辑：MIMOProxyRegistry 调用 MIMOProxyFactory.sol 中的 deployFor()
当前逻辑：
用户可以直接调用deployFor()</t>
  </si>
  <si>
    <t>2022-09-quickswap</t>
  </si>
  <si>
    <t>AlgebraPool.sol</t>
  </si>
  <si>
    <t>mint</t>
  </si>
  <si>
    <t>mint函数中的recipient可以被任意设置
这样攻击者就可以不断给用户少量流动性，导致用户其他功能异常
因为用户burn操作时，需要require流动性</t>
  </si>
  <si>
    <t>2022-10-holograph</t>
  </si>
  <si>
    <t>ERC721H.sol</t>
  </si>
  <si>
    <t>isOwner/onlyOwner</t>
  </si>
  <si>
    <t>正常调用模式：Holographer的fallback，在calldata末尾增加了msg.sender，并且通过msgSender()返回
攻击者：Holographer的hook函数，没有在末尾加地址，所以msgSender读取错误
最终，isOwner和onlyOnwer可以被绕过</t>
  </si>
  <si>
    <t>2023-01-astaria</t>
  </si>
  <si>
    <t>PublicVault.sol</t>
  </si>
  <si>
    <t>transferWithdrawReserve</t>
  </si>
  <si>
    <t>调用transferWithdrawReserve后转0金额，触发回滚，会导致其他某些功能异常</t>
  </si>
  <si>
    <t>2023-01-ondo</t>
  </si>
  <si>
    <t>CashManager.sol</t>
  </si>
  <si>
    <t>completeRedemptions</t>
  </si>
  <si>
    <t>用户赎回KYC身份之后，无法再操作资金，此时管理员也不行。
这属于访问控制冗余
应该删除
_checkAddressesKYC(redeemers);
_checkAddressesKYC(refundees);</t>
  </si>
  <si>
    <t>2023-05-maia</t>
  </si>
  <si>
    <t>BranchPort.sol</t>
  </si>
  <si>
    <t>manage</t>
  </si>
  <si>
    <t>可以算组合漏洞
manage+replenishTokens
manage允许已注册的策略提取代币，不检查代币状态
这样提取出来的代币，无法被replenishTokens所调用</t>
  </si>
  <si>
    <t>CoreBranchRouter.sol</t>
  </si>
  <si>
    <t>addLocalToken</t>
  </si>
  <si>
    <t>addLocalToken,跨链调用了performCallOut
攻击者可以发送一个错误的构造参数。绕过addLocalToken
直接触发_addLocalToken</t>
  </si>
  <si>
    <t>RootBridgeAgent.sol</t>
  </si>
  <si>
    <t>createBridgeAgent</t>
  </si>
  <si>
    <t>无AC，攻击者可任部署新的RootBridgeAgent，注入恶意的RootRouter和BranchRouter</t>
  </si>
  <si>
    <t>UlyssesRouter.sol</t>
  </si>
  <si>
    <t>用户在转移代币的过程中
攻击者抢先调用addLiquidity，通过影响流动性来获利</t>
  </si>
  <si>
    <t>UniswapV3Staker.sol</t>
  </si>
  <si>
    <t>restakeToken</t>
  </si>
  <si>
    <t>restakeToken内部调用了_unstakeToken
但是传入的访问控制参数不对
导致实际执行的时候出现问题</t>
  </si>
  <si>
    <t>2023-06-lybra</t>
  </si>
  <si>
    <t>LybraConfigurator.sol</t>
  </si>
  <si>
    <t>onlyRole</t>
  </si>
  <si>
    <t>只用来进行条件判断，没有require等方式来进行revert</t>
  </si>
  <si>
    <t>checkRole</t>
  </si>
  <si>
    <t>2023-06-stader</t>
  </si>
  <si>
    <t>StaderConfig.sol</t>
  </si>
  <si>
    <t>updateAdmin</t>
  </si>
  <si>
    <t>当前管理员，调用updateAdmin，传入自己的地址
重新授予权限（传入参数）
然后撤销oldAdmin
这样会导致当前管理员自己被撤销</t>
  </si>
  <si>
    <t>ValidatorWithdrawalVault.sol</t>
  </si>
  <si>
    <t>distributeRewards</t>
  </si>
  <si>
    <t>可以算组合漏洞
distributeRewards可以被任何人调用
settleFunds函数中的operatorShare &lt; penaltyAmount可以被攻击者影响</t>
  </si>
  <si>
    <t>VaultProxy.sol</t>
  </si>
  <si>
    <t>fallback</t>
  </si>
  <si>
    <t>低级委托调用
攻击者可以通过调用selfdestruct，销毁合约</t>
  </si>
  <si>
    <t>initialise</t>
  </si>
  <si>
    <t>任何人都可以初始化</t>
  </si>
  <si>
    <t>2023-07-axelar</t>
  </si>
  <si>
    <t>MultisigBase.sol</t>
  </si>
  <si>
    <t>onlySigners</t>
  </si>
  <si>
    <t>这里使用了create3来部署
这里有个特性：跨链但是地址恒定
攻击者重新执行ITS的流程
部署恶意合约，此时地址还是ITS中的恒定地址
在恶意合约，B链发消息到A链（原合约）
A链上验证是ITS地址，验证通过</t>
  </si>
  <si>
    <t>RemoteAddressValidator.sol</t>
  </si>
  <si>
    <t>validateSender</t>
  </si>
  <si>
    <t>validateSender调用了_lowerCase，当中处理字符不对</t>
  </si>
  <si>
    <t>2023-07-lens</t>
  </si>
  <si>
    <t>FollowNFT.sol</t>
  </si>
  <si>
    <t>unfollow</t>
  </si>
  <si>
    <t>unfollow只检测FollowNFT的所有者和所有者批准的操作者
用户可以通过follow在没有FollowNFT的所有权的情况下，进行关注
这样关注的就不能unfollow了
不太能算组合漏洞</t>
  </si>
  <si>
    <t>removeFollower</t>
  </si>
  <si>
    <t>removeFollower和burn没有对暂停状态进行检查，导致合约暂停的时候还可以被用户操作
unfollow检查了。</t>
  </si>
  <si>
    <t>burn</t>
  </si>
  <si>
    <t>LensHandles.sol</t>
  </si>
  <si>
    <t>approve</t>
  </si>
  <si>
    <t>只检查了msg.sender，
没有考虑其批准的操作者
ALice批准了Bob为操作者
Bob绕过approve中关于Alice启用的Token Guardain保护的检查，</t>
  </si>
  <si>
    <t>2023-08-verwa</t>
  </si>
  <si>
    <t>LendingLedger.sol</t>
  </si>
  <si>
    <t>checkpoint_lender</t>
  </si>
  <si>
    <t>没有AC，修改lendingMarketTotalBalanceEpoch和lendingMarketBalancesEpoch</t>
  </si>
  <si>
    <t>checkpoint_market</t>
  </si>
  <si>
    <t>2023-09-asymmetry</t>
  </si>
  <si>
    <t>AfEth.sol
VotiumStrategyCore.sol</t>
  </si>
  <si>
    <t>depositRewards</t>
  </si>
  <si>
    <t>没有检查msg.value是否等于_amount，攻击者传入一个大的_amount，但是msg.value=0，函数将花费ETH余额</t>
  </si>
  <si>
    <t>2023-09-centrifuge</t>
  </si>
  <si>
    <t>InvestmentManager.sol</t>
  </si>
  <si>
    <t>deposit</t>
  </si>
  <si>
    <t>没有AC</t>
  </si>
  <si>
    <t>2023-09-delegate</t>
  </si>
  <si>
    <t>DelegateToken.sol</t>
  </si>
  <si>
    <t>可以算组合漏洞
approve + setApprovalForAll
approve允许操作者为特定代币设置单次授权
比如Alice授权给Bob，即使后来使用setApprovalForAll撤销Bob的权限，但没有同时撤销Bob设置的单一代币授权</t>
  </si>
  <si>
    <t>2023-09-maia</t>
  </si>
  <si>
    <t>RootPort.sol</t>
  </si>
  <si>
    <t>fetchVirtualAccount</t>
  </si>
  <si>
    <t>跨链漏洞
fetchVirtualAccount中函数仅依赖于 SrcBranch 中调用者的地址，而没有考虑调用来自哪个分支。
攻击者可以将Y链上的身份映射到X链上</t>
  </si>
  <si>
    <t>VirtualAccount.sol</t>
  </si>
  <si>
    <t>payableCall</t>
  </si>
  <si>
    <t>低级调用，没有AC</t>
  </si>
  <si>
    <t>2023-10-ethena</t>
  </si>
  <si>
    <t>StakedUSDe.sol</t>
  </si>
  <si>
    <t>_withdraw</t>
  </si>
  <si>
    <t>M1：_withdraw，没有检查_owner
导致_beforeTokenTransfer可以被绕过
M2:redeem 和 withdraw都调用了_withdraw，遗漏了SOFT_RESTRICTED_STAKER_ROLE，导致一些用户可以绕过检查</t>
  </si>
  <si>
    <t>2023-10-wildcat</t>
  </si>
  <si>
    <t>WildcatMarket.sol</t>
  </si>
  <si>
    <t>closeMarket</t>
  </si>
  <si>
    <t>这里的两个函数本身没有问题
但是WildcatMarketController 没有调用这两个函数，导致出现了问题</t>
  </si>
  <si>
    <t>WildcatMarketConfig.sol</t>
  </si>
  <si>
    <t>setMaxTotalSupply</t>
  </si>
  <si>
    <t>2024-01-curves</t>
  </si>
  <si>
    <t>FeeSplitter.sol</t>
  </si>
  <si>
    <t>setCurves</t>
  </si>
  <si>
    <t>缺少AC</t>
  </si>
  <si>
    <t>Security.sol</t>
  </si>
  <si>
    <t>onlyOwner</t>
  </si>
  <si>
    <t>只有condition
没有require</t>
  </si>
  <si>
    <t>onlyManager</t>
  </si>
  <si>
    <t>2024-01-decent</t>
  </si>
  <si>
    <t>UTB.sol</t>
  </si>
  <si>
    <t>receiveFromBridge</t>
  </si>
  <si>
    <t>攻击者可以通过receiveFromBridge直接调用_swapAndExecute
从而绕过过桥费用和指令签名验证</t>
  </si>
  <si>
    <t>2024-01-init-capital-invitational</t>
  </si>
  <si>
    <t>MarginTradingHook.sol</t>
  </si>
  <si>
    <t>updateOrder</t>
  </si>
  <si>
    <t>缺少对order.initPosId 和调用者仓位 ID 的比对检查
攻击者可以随意改变其他用户的订单</t>
  </si>
  <si>
    <t>2024-01-salty</t>
  </si>
  <si>
    <t>Upkeep.sol</t>
  </si>
  <si>
    <t>Step11</t>
  </si>
  <si>
    <t>step11依赖realease的返回值来执行转账，而不是合约余额，如果攻击者在step11执行的过程中提起触发release，就会出现问题
release本身没漏洞。</t>
  </si>
  <si>
    <t>2024-03-revert-lend</t>
  </si>
  <si>
    <t>V3Utils.sol</t>
  </si>
  <si>
    <t>execute缺少用户验证，导致攻击者可以盗用他人的代币</t>
  </si>
  <si>
    <t>2024-04-gondi</t>
  </si>
  <si>
    <t>LiquidationDistributor.sol</t>
  </si>
  <si>
    <t>distribute</t>
  </si>
  <si>
    <t>允许任何人滥发交易并扰乱资金池的记账</t>
  </si>
  <si>
    <t>Pool.sol</t>
  </si>
  <si>
    <t>validateOffer</t>
  </si>
  <si>
    <t>modifier用的不对没有区分是贷款合约还是清算人
任何清算人都可以假装是贷款合约来验证报价</t>
  </si>
  <si>
    <t>2024-05-munchables</t>
  </si>
  <si>
    <t>LockManager.sol</t>
  </si>
  <si>
    <t>lockOnBehalf</t>
  </si>
  <si>
    <t>攻击者重复调用lockOnBehalf，修改了unlocktime，导致了无法提取代币</t>
  </si>
  <si>
    <t>2024-05-olas</t>
  </si>
  <si>
    <t>GnosisTargetDispenserL2.sol</t>
  </si>
  <si>
    <t>onTokenBridged</t>
  </si>
  <si>
    <t>GnosisTargetDispenserL2.sol是一个部署在L2链上的，通过跨链桥接收L1的信息
onTokenBridged
只验证了L2上的调用方，没有验证L1</t>
  </si>
  <si>
    <t>2024-07-basin</t>
  </si>
  <si>
    <t>WellUpgradeable.sol</t>
  </si>
  <si>
    <t>_authorizeUpgrade</t>
  </si>
  <si>
    <t>_authorizeUpgrade缺少onlyOwner
WellUpgradeable继承并重写了Well合约，但是没有正确处理_authorizeUpgrade，忘记了加onlyOwner</t>
  </si>
  <si>
    <t>2024-07-benddao</t>
  </si>
  <si>
    <t>IsolateLogic.sol</t>
  </si>
  <si>
    <t>executeIsolateLiquidate</t>
  </si>
  <si>
    <t>executeIsolateLiquidate
任何人都可以获取NFT，即使没有参与竞拍</t>
  </si>
  <si>
    <t>2024-07-traitforge</t>
  </si>
  <si>
    <t>Airdrop.sol</t>
  </si>
  <si>
    <t>allowDaoFund</t>
  </si>
  <si>
    <t>allowDaoFund
Airdrop的所有权被转移给了TraitForgeNft,但是TraitForgeNft中缺少这样的函数，导致项目无法从外调用(DOS)</t>
  </si>
  <si>
    <t>EntropyGenerator.sol</t>
  </si>
  <si>
    <t>initializeAlphaIndices</t>
  </si>
  <si>
    <t>initializeAlphaIndices
应该用onlyAllowedCaller，但是用错了，用成了onlyOwner</t>
  </si>
  <si>
    <t>NukeFund.sol</t>
  </si>
  <si>
    <t>nuke</t>
  </si>
  <si>
    <t>当中的isApprovedForAll使用不正确</t>
  </si>
  <si>
    <t>2024-08-superposition</t>
  </si>
  <si>
    <t>OwnershipNFTs.sol</t>
  </si>
  <si>
    <t>未撤销的授权允许前所有者收回 NFT
单一代币授权 (getApproved) 应该被撤销
即没有将 getApproved[_tokenId] 设置为 address(0)</t>
  </si>
  <si>
    <t>decent-bridge</t>
  </si>
  <si>
    <t>DcntEth.sol</t>
  </si>
  <si>
    <t>setRouter</t>
  </si>
  <si>
    <t>DecentEthRouter.sol</t>
  </si>
  <si>
    <t>bridgeWithPayload</t>
  </si>
  <si>
    <t>通常流程是UTB::bridgeAndExecute()，UTBFeeCollector:collectFees()然后一些列操作到bridgeWithPayload。
但是由于它没有AC
用户可以通过直接调用bridgeWithPayload来免费使用协议，无需支付任何费用</t>
  </si>
  <si>
    <t>fixed-term-loan</t>
  </si>
  <si>
    <t>MapleLoan.sol</t>
  </si>
  <si>
    <t>makePayment</t>
  </si>
  <si>
    <t>缺乏访问控制，允许恶意出借人提前收回大部分资金，导致借款人遭受资金损失</t>
  </si>
  <si>
    <t>pt-v5-draw-auction</t>
  </si>
  <si>
    <t>RngRelayAuction.sol</t>
  </si>
  <si>
    <t>rngComplete</t>
  </si>
  <si>
    <t>攻击者可以将参数设置为自己，从而偷取奖励
应该只能被 rngAuctionRelayer 调用</t>
  </si>
  <si>
    <t>pt-v5-prize-pool</t>
  </si>
  <si>
    <t>PrizePool.sol</t>
  </si>
  <si>
    <t>setDrawManager</t>
  </si>
  <si>
    <t>setDrawManager
修改drawManager</t>
  </si>
  <si>
    <t>pt-v5-vault</t>
  </si>
  <si>
    <t>mintYieldFee</t>
  </si>
  <si>
    <t>mintYieldFee
可被任何人调用，向任意地址铸造 Vault Shares</t>
  </si>
  <si>
    <t>quest-protocol</t>
  </si>
  <si>
    <t>RabbitHoleReceipt.sol</t>
  </si>
  <si>
    <t>onlyMinter</t>
  </si>
  <si>
    <t>只有condition，没有require</t>
  </si>
  <si>
    <t>RabbitHoleTickets.sol</t>
  </si>
  <si>
    <t>51</t>
  </si>
  <si>
    <t>74</t>
  </si>
  <si>
    <t>87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</si>
</sst>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www.wps.cn/officeDocument/2023/relationships/customStorage" Target="customStorage/customStorage.xml"/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1"/>
  <sheetViews>
    <sheetView workbookViewId="0">
      <selection activeCell="C19" sqref="C19"/>
    </sheetView>
  </sheetViews>
  <sheetFormatPr defaultColWidth="9" defaultRowHeight="15"/>
  <cols>
    <col min="2" max="2" width="12.6666666666667"/>
  </cols>
  <sheetData>
    <row r="1" spans="1:13">
      <c r="A1" t="s">
        <v>0</v>
      </c>
      <c r="B1" t="s">
        <v>1</v>
      </c>
      <c r="E1" t="s">
        <v>2</v>
      </c>
      <c r="H1" t="s">
        <v>3</v>
      </c>
      <c r="K1" t="s">
        <v>4</v>
      </c>
      <c r="L1" t="s">
        <v>5</v>
      </c>
      <c r="M1" t="s">
        <v>6</v>
      </c>
    </row>
    <row r="2" spans="2:10">
      <c r="B2" t="s">
        <v>7</v>
      </c>
      <c r="C2" t="s">
        <v>8</v>
      </c>
      <c r="D2" t="s">
        <v>9</v>
      </c>
      <c r="E2" t="s">
        <v>7</v>
      </c>
      <c r="F2" t="s">
        <v>8</v>
      </c>
      <c r="G2" t="s">
        <v>9</v>
      </c>
      <c r="H2" t="s">
        <v>7</v>
      </c>
      <c r="I2" t="s">
        <v>8</v>
      </c>
      <c r="J2" t="s">
        <v>9</v>
      </c>
    </row>
    <row r="3" spans="1:12">
      <c r="A3" t="s">
        <v>10</v>
      </c>
      <c r="B3">
        <v>1</v>
      </c>
      <c r="C3">
        <v>0</v>
      </c>
      <c r="D3">
        <v>0</v>
      </c>
      <c r="G3" t="s">
        <v>11</v>
      </c>
      <c r="J3" t="s">
        <v>11</v>
      </c>
      <c r="K3" t="s">
        <v>11</v>
      </c>
      <c r="L3" t="s">
        <v>12</v>
      </c>
    </row>
    <row r="4" spans="1:12">
      <c r="A4" t="s">
        <v>13</v>
      </c>
      <c r="B4">
        <v>1</v>
      </c>
      <c r="C4">
        <v>0</v>
      </c>
      <c r="D4">
        <v>0</v>
      </c>
      <c r="G4" t="s">
        <v>11</v>
      </c>
      <c r="J4" t="s">
        <v>11</v>
      </c>
      <c r="K4" t="s">
        <v>11</v>
      </c>
      <c r="L4" t="s">
        <v>12</v>
      </c>
    </row>
    <row r="5" spans="1:13">
      <c r="A5" t="s">
        <v>14</v>
      </c>
      <c r="B5">
        <v>1</v>
      </c>
      <c r="C5">
        <v>0</v>
      </c>
      <c r="D5">
        <v>0</v>
      </c>
      <c r="G5" t="s">
        <v>11</v>
      </c>
      <c r="J5" t="s">
        <v>11</v>
      </c>
      <c r="K5" t="s">
        <v>11</v>
      </c>
      <c r="L5" t="s">
        <v>15</v>
      </c>
      <c r="M5" t="s">
        <v>16</v>
      </c>
    </row>
    <row r="6" spans="1:12">
      <c r="A6" t="s">
        <v>17</v>
      </c>
      <c r="B6">
        <v>1</v>
      </c>
      <c r="C6">
        <v>0</v>
      </c>
      <c r="D6">
        <v>0</v>
      </c>
      <c r="G6" t="s">
        <v>11</v>
      </c>
      <c r="J6" t="s">
        <v>11</v>
      </c>
      <c r="K6" t="s">
        <v>11</v>
      </c>
      <c r="L6" t="s">
        <v>18</v>
      </c>
    </row>
    <row r="7" spans="1:12">
      <c r="A7" t="s">
        <v>19</v>
      </c>
      <c r="B7">
        <v>2</v>
      </c>
      <c r="C7">
        <v>1</v>
      </c>
      <c r="D7">
        <v>0</v>
      </c>
      <c r="G7" t="s">
        <v>20</v>
      </c>
      <c r="J7" t="s">
        <v>20</v>
      </c>
      <c r="K7" t="s">
        <v>20</v>
      </c>
      <c r="L7" t="s">
        <v>21</v>
      </c>
    </row>
    <row r="8" spans="1:12">
      <c r="A8" t="s">
        <v>22</v>
      </c>
      <c r="B8">
        <v>0</v>
      </c>
      <c r="C8">
        <v>0</v>
      </c>
      <c r="D8">
        <v>1</v>
      </c>
      <c r="G8" t="s">
        <v>11</v>
      </c>
      <c r="J8" t="s">
        <v>11</v>
      </c>
      <c r="K8" t="s">
        <v>11</v>
      </c>
      <c r="L8" t="s">
        <v>23</v>
      </c>
    </row>
    <row r="9" spans="1:12">
      <c r="A9" t="s">
        <v>24</v>
      </c>
      <c r="B9">
        <v>1</v>
      </c>
      <c r="C9">
        <v>0</v>
      </c>
      <c r="D9">
        <v>0</v>
      </c>
      <c r="G9" t="s">
        <v>11</v>
      </c>
      <c r="J9" t="s">
        <v>11</v>
      </c>
      <c r="K9" t="s">
        <v>11</v>
      </c>
      <c r="L9" t="s">
        <v>25</v>
      </c>
    </row>
    <row r="10" spans="1:12">
      <c r="A10" t="s">
        <v>26</v>
      </c>
      <c r="B10">
        <v>1</v>
      </c>
      <c r="C10">
        <v>0</v>
      </c>
      <c r="D10">
        <v>0</v>
      </c>
      <c r="G10" t="s">
        <v>11</v>
      </c>
      <c r="J10" t="s">
        <v>11</v>
      </c>
      <c r="K10" t="s">
        <v>11</v>
      </c>
      <c r="L10" t="s">
        <v>27</v>
      </c>
    </row>
    <row r="11" spans="1:12">
      <c r="A11" t="s">
        <v>28</v>
      </c>
      <c r="B11">
        <v>0</v>
      </c>
      <c r="C11">
        <v>0</v>
      </c>
      <c r="D11">
        <v>1</v>
      </c>
      <c r="G11" t="s">
        <v>11</v>
      </c>
      <c r="J11" t="s">
        <v>11</v>
      </c>
      <c r="K11" t="s">
        <v>11</v>
      </c>
      <c r="L11" t="s">
        <v>29</v>
      </c>
    </row>
    <row r="12" spans="1:12">
      <c r="A12" t="s">
        <v>30</v>
      </c>
      <c r="B12">
        <v>1</v>
      </c>
      <c r="C12">
        <v>0</v>
      </c>
      <c r="D12">
        <v>0</v>
      </c>
      <c r="G12" t="s">
        <v>11</v>
      </c>
      <c r="J12" t="s">
        <v>11</v>
      </c>
      <c r="K12" t="s">
        <v>11</v>
      </c>
      <c r="L12" t="s">
        <v>31</v>
      </c>
    </row>
    <row r="13" spans="1:12">
      <c r="A13" t="s">
        <v>32</v>
      </c>
      <c r="B13">
        <v>1</v>
      </c>
      <c r="C13">
        <v>0</v>
      </c>
      <c r="D13">
        <v>0</v>
      </c>
      <c r="G13" t="s">
        <v>11</v>
      </c>
      <c r="J13" t="s">
        <v>11</v>
      </c>
      <c r="K13" t="s">
        <v>11</v>
      </c>
      <c r="L13" t="s">
        <v>25</v>
      </c>
    </row>
    <row r="14" spans="1:12">
      <c r="A14" t="s">
        <v>33</v>
      </c>
      <c r="B14">
        <v>1</v>
      </c>
      <c r="C14">
        <v>0</v>
      </c>
      <c r="D14">
        <v>0</v>
      </c>
      <c r="G14" t="s">
        <v>11</v>
      </c>
      <c r="J14" t="s">
        <v>11</v>
      </c>
      <c r="K14" t="s">
        <v>11</v>
      </c>
      <c r="L14" t="s">
        <v>34</v>
      </c>
    </row>
    <row r="15" spans="1:12">
      <c r="A15" t="s">
        <v>35</v>
      </c>
      <c r="B15">
        <v>1</v>
      </c>
      <c r="C15">
        <v>0</v>
      </c>
      <c r="D15">
        <v>0</v>
      </c>
      <c r="G15" t="s">
        <v>11</v>
      </c>
      <c r="J15" t="s">
        <v>11</v>
      </c>
      <c r="K15" t="s">
        <v>11</v>
      </c>
      <c r="L15" t="s">
        <v>36</v>
      </c>
    </row>
    <row r="16" spans="1:12">
      <c r="A16" t="s">
        <v>37</v>
      </c>
      <c r="B16">
        <v>1</v>
      </c>
      <c r="C16">
        <v>0</v>
      </c>
      <c r="D16">
        <v>0</v>
      </c>
      <c r="G16" t="s">
        <v>11</v>
      </c>
      <c r="J16" t="s">
        <v>11</v>
      </c>
      <c r="K16" t="s">
        <v>11</v>
      </c>
      <c r="L16" t="s">
        <v>25</v>
      </c>
    </row>
    <row r="17" spans="1:12">
      <c r="A17" t="s">
        <v>38</v>
      </c>
      <c r="B17">
        <v>1</v>
      </c>
      <c r="C17">
        <v>0</v>
      </c>
      <c r="D17">
        <v>0</v>
      </c>
      <c r="G17" t="s">
        <v>11</v>
      </c>
      <c r="J17" t="s">
        <v>11</v>
      </c>
      <c r="K17" t="s">
        <v>11</v>
      </c>
      <c r="L17" t="s">
        <v>25</v>
      </c>
    </row>
    <row r="18" spans="1:11">
      <c r="A18" t="s">
        <v>39</v>
      </c>
      <c r="B18">
        <f>SUM(B3:B17)</f>
        <v>14</v>
      </c>
      <c r="C18">
        <f>SUM(C3:C17)</f>
        <v>1</v>
      </c>
      <c r="D18">
        <f>SUM(D3:D17)</f>
        <v>2</v>
      </c>
      <c r="E18" t="s">
        <v>40</v>
      </c>
      <c r="F18" t="s">
        <v>40</v>
      </c>
      <c r="G18" t="s">
        <v>41</v>
      </c>
      <c r="H18" t="s">
        <v>40</v>
      </c>
      <c r="I18" t="s">
        <v>40</v>
      </c>
      <c r="J18" t="s">
        <v>41</v>
      </c>
      <c r="K18" t="s">
        <v>41</v>
      </c>
    </row>
    <row r="19" spans="1:2">
      <c r="A19" t="s">
        <v>42</v>
      </c>
      <c r="B19">
        <f>B18/(B18+C18)</f>
        <v>0.933333333333333</v>
      </c>
    </row>
    <row r="20" spans="1:8">
      <c r="A20" t="s">
        <v>43</v>
      </c>
      <c r="B20">
        <f>B18/(B18+D18)</f>
        <v>0.875</v>
      </c>
      <c r="E20" t="s">
        <v>44</v>
      </c>
      <c r="H20" t="s">
        <v>44</v>
      </c>
    </row>
    <row r="21" spans="1:2">
      <c r="A21" t="s">
        <v>45</v>
      </c>
      <c r="B21">
        <f>2*B19*B20/(B19+B20)</f>
        <v>0.903225806451613</v>
      </c>
    </row>
  </sheetData>
  <pageMargins left="0.75" right="0.75" top="1" bottom="1" header="0.5" footer="0.5"/>
  <headerFooter/>
  <ignoredErrors>
    <ignoredError sqref="A6:A21 E6:M18 C19:M21 E4:M5 A1:M2 A3:A5 E3:M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tabSelected="1" workbookViewId="0">
      <selection activeCell="B25" sqref="B25"/>
    </sheetView>
  </sheetViews>
  <sheetFormatPr defaultColWidth="9" defaultRowHeight="15"/>
  <cols>
    <col min="2" max="2" width="12.6666666666667"/>
  </cols>
  <sheetData>
    <row r="1" spans="1:12">
      <c r="A1" t="s">
        <v>46</v>
      </c>
      <c r="B1" t="s">
        <v>1</v>
      </c>
      <c r="E1" t="s">
        <v>2</v>
      </c>
      <c r="H1" t="s">
        <v>3</v>
      </c>
      <c r="K1" t="s">
        <v>4</v>
      </c>
      <c r="L1" t="s">
        <v>5</v>
      </c>
    </row>
    <row r="2" spans="2:10">
      <c r="B2" t="s">
        <v>7</v>
      </c>
      <c r="C2" t="s">
        <v>8</v>
      </c>
      <c r="D2" t="s">
        <v>9</v>
      </c>
      <c r="E2" t="s">
        <v>7</v>
      </c>
      <c r="F2" t="s">
        <v>8</v>
      </c>
      <c r="G2" t="s">
        <v>9</v>
      </c>
      <c r="H2" t="s">
        <v>7</v>
      </c>
      <c r="I2" t="s">
        <v>8</v>
      </c>
      <c r="J2" t="s">
        <v>9</v>
      </c>
    </row>
    <row r="3" spans="1:12">
      <c r="A3" t="s">
        <v>47</v>
      </c>
      <c r="B3">
        <v>1</v>
      </c>
      <c r="C3">
        <v>2</v>
      </c>
      <c r="D3">
        <v>0</v>
      </c>
      <c r="G3" t="s">
        <v>11</v>
      </c>
      <c r="J3" t="s">
        <v>11</v>
      </c>
      <c r="K3" t="s">
        <v>11</v>
      </c>
      <c r="L3" t="s">
        <v>48</v>
      </c>
    </row>
    <row r="4" spans="1:12">
      <c r="A4" t="s">
        <v>49</v>
      </c>
      <c r="B4">
        <v>2</v>
      </c>
      <c r="C4">
        <v>0</v>
      </c>
      <c r="D4">
        <v>0</v>
      </c>
      <c r="G4" t="s">
        <v>20</v>
      </c>
      <c r="J4" t="s">
        <v>20</v>
      </c>
      <c r="K4" t="s">
        <v>20</v>
      </c>
      <c r="L4" t="s">
        <v>50</v>
      </c>
    </row>
    <row r="5" spans="1:12">
      <c r="A5" t="s">
        <v>51</v>
      </c>
      <c r="B5">
        <v>1</v>
      </c>
      <c r="C5">
        <v>0</v>
      </c>
      <c r="D5">
        <v>0</v>
      </c>
      <c r="G5" t="s">
        <v>11</v>
      </c>
      <c r="J5" t="s">
        <v>11</v>
      </c>
      <c r="K5" t="s">
        <v>11</v>
      </c>
      <c r="L5" t="s">
        <v>52</v>
      </c>
    </row>
    <row r="6" spans="1:12">
      <c r="A6" t="s">
        <v>53</v>
      </c>
      <c r="B6">
        <v>1</v>
      </c>
      <c r="C6">
        <v>0</v>
      </c>
      <c r="D6">
        <v>0</v>
      </c>
      <c r="G6" t="s">
        <v>11</v>
      </c>
      <c r="J6" t="s">
        <v>11</v>
      </c>
      <c r="K6" t="s">
        <v>11</v>
      </c>
      <c r="L6" t="s">
        <v>54</v>
      </c>
    </row>
    <row r="7" spans="1:12">
      <c r="A7" t="s">
        <v>55</v>
      </c>
      <c r="B7">
        <v>1</v>
      </c>
      <c r="C7">
        <v>0</v>
      </c>
      <c r="D7">
        <v>0</v>
      </c>
      <c r="G7" t="s">
        <v>11</v>
      </c>
      <c r="J7" t="s">
        <v>11</v>
      </c>
      <c r="K7" t="s">
        <v>11</v>
      </c>
      <c r="L7" t="s">
        <v>56</v>
      </c>
    </row>
    <row r="8" spans="1:12">
      <c r="A8" t="s">
        <v>57</v>
      </c>
      <c r="B8">
        <v>0</v>
      </c>
      <c r="C8">
        <v>0</v>
      </c>
      <c r="D8">
        <v>1</v>
      </c>
      <c r="G8" t="s">
        <v>11</v>
      </c>
      <c r="J8" t="s">
        <v>11</v>
      </c>
      <c r="K8" t="s">
        <v>11</v>
      </c>
      <c r="L8" t="s">
        <v>58</v>
      </c>
    </row>
    <row r="9" spans="1:12">
      <c r="A9" t="s">
        <v>59</v>
      </c>
      <c r="B9">
        <v>1</v>
      </c>
      <c r="C9">
        <v>0</v>
      </c>
      <c r="D9">
        <v>0</v>
      </c>
      <c r="G9" t="s">
        <v>11</v>
      </c>
      <c r="J9" t="s">
        <v>11</v>
      </c>
      <c r="K9" t="s">
        <v>11</v>
      </c>
      <c r="L9" t="s">
        <v>60</v>
      </c>
    </row>
    <row r="10" spans="1:12">
      <c r="A10" t="s">
        <v>61</v>
      </c>
      <c r="B10">
        <v>1</v>
      </c>
      <c r="C10">
        <v>0</v>
      </c>
      <c r="D10">
        <v>0</v>
      </c>
      <c r="G10" t="s">
        <v>11</v>
      </c>
      <c r="J10" t="s">
        <v>11</v>
      </c>
      <c r="K10" t="s">
        <v>11</v>
      </c>
      <c r="L10" t="s">
        <v>62</v>
      </c>
    </row>
    <row r="11" spans="1:12">
      <c r="A11" t="s">
        <v>63</v>
      </c>
      <c r="B11">
        <v>1</v>
      </c>
      <c r="C11">
        <v>0</v>
      </c>
      <c r="D11">
        <v>1</v>
      </c>
      <c r="G11" t="s">
        <v>20</v>
      </c>
      <c r="J11" t="s">
        <v>20</v>
      </c>
      <c r="K11" t="s">
        <v>20</v>
      </c>
      <c r="L11" t="s">
        <v>64</v>
      </c>
    </row>
    <row r="12" spans="1:12">
      <c r="A12" t="s">
        <v>65</v>
      </c>
      <c r="B12">
        <v>1</v>
      </c>
      <c r="C12">
        <v>0</v>
      </c>
      <c r="D12">
        <v>1</v>
      </c>
      <c r="G12" t="s">
        <v>20</v>
      </c>
      <c r="J12" t="s">
        <v>20</v>
      </c>
      <c r="K12" t="s">
        <v>20</v>
      </c>
      <c r="L12" t="s">
        <v>66</v>
      </c>
    </row>
    <row r="13" spans="1:12">
      <c r="A13" t="s">
        <v>67</v>
      </c>
      <c r="B13">
        <v>1</v>
      </c>
      <c r="C13">
        <v>0</v>
      </c>
      <c r="D13">
        <v>0</v>
      </c>
      <c r="G13" t="s">
        <v>11</v>
      </c>
      <c r="J13" t="s">
        <v>11</v>
      </c>
      <c r="K13" t="s">
        <v>11</v>
      </c>
      <c r="L13" t="s">
        <v>68</v>
      </c>
    </row>
    <row r="14" spans="1:12">
      <c r="A14" t="s">
        <v>69</v>
      </c>
      <c r="B14">
        <v>1</v>
      </c>
      <c r="C14">
        <v>0</v>
      </c>
      <c r="D14">
        <v>0</v>
      </c>
      <c r="G14" t="s">
        <v>11</v>
      </c>
      <c r="J14" t="s">
        <v>11</v>
      </c>
      <c r="K14" t="s">
        <v>11</v>
      </c>
      <c r="L14" t="s">
        <v>70</v>
      </c>
    </row>
    <row r="15" spans="1:12">
      <c r="A15" t="s">
        <v>71</v>
      </c>
      <c r="B15">
        <v>1</v>
      </c>
      <c r="C15">
        <v>0</v>
      </c>
      <c r="D15">
        <v>0</v>
      </c>
      <c r="G15" t="s">
        <v>11</v>
      </c>
      <c r="J15" t="s">
        <v>11</v>
      </c>
      <c r="K15" t="s">
        <v>11</v>
      </c>
      <c r="L15" t="s">
        <v>72</v>
      </c>
    </row>
    <row r="16" spans="1:12">
      <c r="A16" t="s">
        <v>73</v>
      </c>
      <c r="B16">
        <v>1</v>
      </c>
      <c r="C16">
        <v>0</v>
      </c>
      <c r="D16">
        <v>0</v>
      </c>
      <c r="G16" t="s">
        <v>11</v>
      </c>
      <c r="J16" t="s">
        <v>11</v>
      </c>
      <c r="K16" t="s">
        <v>11</v>
      </c>
      <c r="L16" t="s">
        <v>74</v>
      </c>
    </row>
    <row r="17" spans="1:12">
      <c r="A17" t="s">
        <v>75</v>
      </c>
      <c r="B17">
        <v>1</v>
      </c>
      <c r="C17">
        <v>0</v>
      </c>
      <c r="D17">
        <v>0</v>
      </c>
      <c r="G17" t="s">
        <v>11</v>
      </c>
      <c r="J17" t="s">
        <v>11</v>
      </c>
      <c r="K17" t="s">
        <v>11</v>
      </c>
      <c r="L17" t="s">
        <v>76</v>
      </c>
    </row>
    <row r="18" spans="1:12">
      <c r="A18" t="s">
        <v>77</v>
      </c>
      <c r="B18">
        <v>0</v>
      </c>
      <c r="C18">
        <v>0</v>
      </c>
      <c r="D18">
        <v>1</v>
      </c>
      <c r="G18" t="s">
        <v>11</v>
      </c>
      <c r="J18" t="s">
        <v>11</v>
      </c>
      <c r="K18" t="s">
        <v>11</v>
      </c>
      <c r="L18" t="s">
        <v>78</v>
      </c>
    </row>
    <row r="19" spans="1:12">
      <c r="A19" t="s">
        <v>79</v>
      </c>
      <c r="B19">
        <v>1</v>
      </c>
      <c r="C19">
        <v>0</v>
      </c>
      <c r="D19">
        <v>0</v>
      </c>
      <c r="G19" t="s">
        <v>11</v>
      </c>
      <c r="J19" t="s">
        <v>11</v>
      </c>
      <c r="K19" t="s">
        <v>11</v>
      </c>
      <c r="L19" t="s">
        <v>80</v>
      </c>
    </row>
    <row r="20" spans="1:12">
      <c r="A20" t="s">
        <v>81</v>
      </c>
      <c r="B20">
        <v>0</v>
      </c>
      <c r="C20">
        <v>0</v>
      </c>
      <c r="D20">
        <v>1</v>
      </c>
      <c r="G20" t="s">
        <v>11</v>
      </c>
      <c r="J20" t="s">
        <v>11</v>
      </c>
      <c r="K20" t="s">
        <v>11</v>
      </c>
      <c r="L20" t="s">
        <v>82</v>
      </c>
    </row>
    <row r="21" spans="1:11">
      <c r="A21" t="s">
        <v>39</v>
      </c>
      <c r="B21">
        <f>SUM(B3:B20)</f>
        <v>16</v>
      </c>
      <c r="C21">
        <f>SUM(C3:C20)</f>
        <v>2</v>
      </c>
      <c r="D21">
        <f>SUM(D3:D20)</f>
        <v>5</v>
      </c>
      <c r="E21" t="s">
        <v>40</v>
      </c>
      <c r="F21" t="s">
        <v>40</v>
      </c>
      <c r="G21" t="s">
        <v>83</v>
      </c>
      <c r="H21" t="s">
        <v>40</v>
      </c>
      <c r="I21" t="s">
        <v>40</v>
      </c>
      <c r="J21" t="s">
        <v>83</v>
      </c>
      <c r="K21" t="s">
        <v>83</v>
      </c>
    </row>
    <row r="22" spans="1:2">
      <c r="A22" t="s">
        <v>42</v>
      </c>
      <c r="B22">
        <f>B21/(B21+C21)</f>
        <v>0.888888888888889</v>
      </c>
    </row>
    <row r="23" spans="1:8">
      <c r="A23" t="s">
        <v>43</v>
      </c>
      <c r="B23">
        <f>B21/(B21+D21)</f>
        <v>0.761904761904762</v>
      </c>
      <c r="E23" t="s">
        <v>44</v>
      </c>
      <c r="H23" t="s">
        <v>44</v>
      </c>
    </row>
    <row r="24" spans="1:2">
      <c r="A24" t="s">
        <v>45</v>
      </c>
      <c r="B24">
        <f>2*B22*B23/(B22+B23)</f>
        <v>0.82051282051282</v>
      </c>
    </row>
  </sheetData>
  <pageMargins left="0.75" right="0.75" top="1" bottom="1" header="0.5" footer="0.5"/>
  <headerFooter/>
  <ignoredErrors>
    <ignoredError sqref="A1:L2 A3:A24 E3:L21 C22:L2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4"/>
  <sheetViews>
    <sheetView zoomScale="85" zoomScaleNormal="85" topLeftCell="A73" workbookViewId="0">
      <selection activeCell="E95" sqref="E95"/>
    </sheetView>
  </sheetViews>
  <sheetFormatPr defaultColWidth="9" defaultRowHeight="15" outlineLevelCol="7"/>
  <cols>
    <col min="4" max="4" width="8.91666666666667" customWidth="1"/>
    <col min="5" max="5" width="12.6666666666667"/>
  </cols>
  <sheetData>
    <row r="1" spans="1:5">
      <c r="A1" t="s">
        <v>84</v>
      </c>
      <c r="B1" t="s">
        <v>46</v>
      </c>
      <c r="C1" t="s">
        <v>5</v>
      </c>
      <c r="D1" t="s">
        <v>85</v>
      </c>
      <c r="E1" t="s">
        <v>1</v>
      </c>
    </row>
    <row r="2" spans="5:8">
      <c r="E2" t="s">
        <v>7</v>
      </c>
      <c r="F2" t="s">
        <v>8</v>
      </c>
      <c r="G2" t="s">
        <v>9</v>
      </c>
      <c r="H2" t="s">
        <v>86</v>
      </c>
    </row>
    <row r="3" spans="1:7">
      <c r="A3" t="s">
        <v>87</v>
      </c>
      <c r="B3" t="s">
        <v>88</v>
      </c>
      <c r="C3" t="s">
        <v>89</v>
      </c>
      <c r="D3" t="s">
        <v>90</v>
      </c>
      <c r="E3" s="1">
        <v>3</v>
      </c>
      <c r="F3" s="1">
        <v>0</v>
      </c>
      <c r="G3" s="1">
        <v>1</v>
      </c>
    </row>
    <row r="4" spans="3:7">
      <c r="C4" t="s">
        <v>91</v>
      </c>
      <c r="E4" s="1"/>
      <c r="F4" s="1"/>
      <c r="G4" s="1"/>
    </row>
    <row r="5" spans="3:7">
      <c r="C5" t="s">
        <v>92</v>
      </c>
      <c r="D5" t="s">
        <v>93</v>
      </c>
      <c r="E5" s="1"/>
      <c r="F5" s="1"/>
      <c r="G5" s="1"/>
    </row>
    <row r="6" spans="3:7">
      <c r="C6" t="s">
        <v>94</v>
      </c>
      <c r="E6" s="1"/>
      <c r="F6" s="1"/>
      <c r="G6" s="1"/>
    </row>
    <row r="7" spans="2:7">
      <c r="B7" t="s">
        <v>95</v>
      </c>
      <c r="C7" t="s">
        <v>96</v>
      </c>
      <c r="D7" t="s">
        <v>97</v>
      </c>
      <c r="E7">
        <v>0</v>
      </c>
      <c r="F7">
        <v>2</v>
      </c>
      <c r="G7">
        <v>1</v>
      </c>
    </row>
    <row r="8" spans="1:7">
      <c r="A8" t="s">
        <v>98</v>
      </c>
      <c r="B8" t="s">
        <v>99</v>
      </c>
      <c r="C8" t="s">
        <v>100</v>
      </c>
      <c r="D8" t="s">
        <v>101</v>
      </c>
      <c r="E8">
        <v>1</v>
      </c>
      <c r="F8">
        <v>0</v>
      </c>
      <c r="G8">
        <v>0</v>
      </c>
    </row>
    <row r="9" spans="1:7">
      <c r="A9" t="s">
        <v>102</v>
      </c>
      <c r="B9" t="s">
        <v>103</v>
      </c>
      <c r="C9" t="s">
        <v>104</v>
      </c>
      <c r="D9" t="s">
        <v>105</v>
      </c>
      <c r="E9">
        <v>0</v>
      </c>
      <c r="F9">
        <v>1</v>
      </c>
      <c r="G9">
        <v>1</v>
      </c>
    </row>
    <row r="10" spans="1:7">
      <c r="A10" t="s">
        <v>106</v>
      </c>
      <c r="B10" t="s">
        <v>107</v>
      </c>
      <c r="C10" t="s">
        <v>108</v>
      </c>
      <c r="D10" t="s">
        <v>109</v>
      </c>
      <c r="E10">
        <v>0</v>
      </c>
      <c r="F10">
        <v>1</v>
      </c>
      <c r="G10">
        <v>1</v>
      </c>
    </row>
    <row r="11" spans="1:7">
      <c r="A11" t="s">
        <v>110</v>
      </c>
      <c r="B11" t="s">
        <v>111</v>
      </c>
      <c r="C11" t="s">
        <v>112</v>
      </c>
      <c r="D11" t="s">
        <v>113</v>
      </c>
      <c r="E11">
        <v>0</v>
      </c>
      <c r="F11">
        <v>0</v>
      </c>
      <c r="G11">
        <v>1</v>
      </c>
    </row>
    <row r="12" spans="1:7">
      <c r="A12" t="s">
        <v>114</v>
      </c>
      <c r="B12" t="s">
        <v>103</v>
      </c>
      <c r="C12" t="s">
        <v>115</v>
      </c>
      <c r="D12" t="s">
        <v>116</v>
      </c>
      <c r="E12" s="1">
        <v>0</v>
      </c>
      <c r="F12" s="1">
        <v>0</v>
      </c>
      <c r="G12" s="1">
        <v>2</v>
      </c>
    </row>
    <row r="13" spans="3:7">
      <c r="C13" t="s">
        <v>117</v>
      </c>
      <c r="E13" s="1"/>
      <c r="F13" s="1"/>
      <c r="G13" s="1"/>
    </row>
    <row r="14" spans="1:7">
      <c r="A14" t="s">
        <v>118</v>
      </c>
      <c r="B14" t="s">
        <v>119</v>
      </c>
      <c r="C14" t="s">
        <v>120</v>
      </c>
      <c r="D14" t="s">
        <v>121</v>
      </c>
      <c r="E14">
        <v>0</v>
      </c>
      <c r="F14">
        <v>0</v>
      </c>
      <c r="G14">
        <v>1</v>
      </c>
    </row>
    <row r="15" spans="1:7">
      <c r="A15" t="s">
        <v>122</v>
      </c>
      <c r="B15" t="s">
        <v>123</v>
      </c>
      <c r="C15" t="s">
        <v>124</v>
      </c>
      <c r="D15" t="s">
        <v>125</v>
      </c>
      <c r="E15">
        <v>1</v>
      </c>
      <c r="F15">
        <v>0</v>
      </c>
      <c r="G15">
        <v>0</v>
      </c>
    </row>
    <row r="16" spans="1:7">
      <c r="A16" t="s">
        <v>126</v>
      </c>
      <c r="B16" t="s">
        <v>127</v>
      </c>
      <c r="C16" t="s">
        <v>128</v>
      </c>
      <c r="D16" t="s">
        <v>129</v>
      </c>
      <c r="E16">
        <v>1</v>
      </c>
      <c r="F16">
        <v>0</v>
      </c>
      <c r="G16">
        <v>0</v>
      </c>
    </row>
    <row r="17" spans="2:7">
      <c r="B17" t="s">
        <v>130</v>
      </c>
      <c r="C17" t="s">
        <v>131</v>
      </c>
      <c r="D17" t="s">
        <v>132</v>
      </c>
      <c r="E17" s="1">
        <v>0</v>
      </c>
      <c r="F17" s="1">
        <v>0</v>
      </c>
      <c r="G17" s="1">
        <v>2</v>
      </c>
    </row>
    <row r="18" spans="3:7">
      <c r="C18" t="s">
        <v>133</v>
      </c>
      <c r="E18" s="1"/>
      <c r="F18" s="1"/>
      <c r="G18" s="1"/>
    </row>
    <row r="19" spans="1:7">
      <c r="A19" t="s">
        <v>134</v>
      </c>
      <c r="B19" t="s">
        <v>135</v>
      </c>
      <c r="C19" t="s">
        <v>136</v>
      </c>
      <c r="D19" t="s">
        <v>137</v>
      </c>
      <c r="E19">
        <v>1</v>
      </c>
      <c r="F19">
        <v>0</v>
      </c>
      <c r="G19">
        <v>0</v>
      </c>
    </row>
    <row r="20" spans="1:7">
      <c r="A20" t="s">
        <v>138</v>
      </c>
      <c r="B20" t="s">
        <v>139</v>
      </c>
      <c r="C20" t="s">
        <v>140</v>
      </c>
      <c r="D20" t="s">
        <v>141</v>
      </c>
      <c r="E20">
        <v>1</v>
      </c>
      <c r="F20">
        <v>0</v>
      </c>
      <c r="G20">
        <v>0</v>
      </c>
    </row>
    <row r="21" spans="2:7">
      <c r="B21" t="s">
        <v>142</v>
      </c>
      <c r="C21" t="s">
        <v>143</v>
      </c>
      <c r="D21" t="s">
        <v>144</v>
      </c>
      <c r="E21">
        <v>1</v>
      </c>
      <c r="F21">
        <v>0</v>
      </c>
      <c r="G21">
        <v>0</v>
      </c>
    </row>
    <row r="22" spans="1:7">
      <c r="A22" t="s">
        <v>145</v>
      </c>
      <c r="B22" t="s">
        <v>146</v>
      </c>
      <c r="C22" t="s">
        <v>147</v>
      </c>
      <c r="D22" t="s">
        <v>148</v>
      </c>
      <c r="E22">
        <v>0</v>
      </c>
      <c r="F22">
        <v>0</v>
      </c>
      <c r="G22">
        <v>1</v>
      </c>
    </row>
    <row r="23" spans="2:7">
      <c r="B23" t="s">
        <v>149</v>
      </c>
      <c r="C23" t="s">
        <v>150</v>
      </c>
      <c r="D23" t="s">
        <v>151</v>
      </c>
      <c r="E23">
        <v>1</v>
      </c>
      <c r="F23">
        <v>0</v>
      </c>
      <c r="G23">
        <v>0</v>
      </c>
    </row>
    <row r="24" spans="1:7">
      <c r="A24" t="s">
        <v>152</v>
      </c>
      <c r="B24" t="s">
        <v>153</v>
      </c>
      <c r="C24" t="s">
        <v>154</v>
      </c>
      <c r="D24" t="s">
        <v>155</v>
      </c>
      <c r="E24">
        <v>0</v>
      </c>
      <c r="F24">
        <v>2</v>
      </c>
      <c r="G24">
        <v>1</v>
      </c>
    </row>
    <row r="25" spans="1:7">
      <c r="A25" t="s">
        <v>156</v>
      </c>
      <c r="B25" t="s">
        <v>157</v>
      </c>
      <c r="C25" t="s">
        <v>158</v>
      </c>
      <c r="D25" t="s">
        <v>159</v>
      </c>
      <c r="E25">
        <v>1</v>
      </c>
      <c r="F25">
        <v>0</v>
      </c>
      <c r="G25">
        <v>0</v>
      </c>
    </row>
    <row r="26" spans="1:7">
      <c r="A26" t="s">
        <v>160</v>
      </c>
      <c r="B26" t="s">
        <v>161</v>
      </c>
      <c r="C26" t="s">
        <v>162</v>
      </c>
      <c r="D26" t="s">
        <v>163</v>
      </c>
      <c r="E26" s="1">
        <v>1</v>
      </c>
      <c r="F26" s="1">
        <v>0</v>
      </c>
      <c r="G26" s="1">
        <v>1</v>
      </c>
    </row>
    <row r="27" spans="3:7">
      <c r="C27" t="s">
        <v>164</v>
      </c>
      <c r="E27" s="1"/>
      <c r="F27" s="1"/>
      <c r="G27" s="1"/>
    </row>
    <row r="28" spans="1:7">
      <c r="A28" t="s">
        <v>165</v>
      </c>
      <c r="B28" t="s">
        <v>166</v>
      </c>
      <c r="C28" t="s">
        <v>167</v>
      </c>
      <c r="D28" t="s">
        <v>168</v>
      </c>
      <c r="E28">
        <v>0</v>
      </c>
      <c r="F28">
        <v>0</v>
      </c>
      <c r="G28">
        <v>1</v>
      </c>
    </row>
    <row r="29" spans="1:7">
      <c r="A29" t="s">
        <v>169</v>
      </c>
      <c r="B29" t="s">
        <v>170</v>
      </c>
      <c r="C29" t="s">
        <v>171</v>
      </c>
      <c r="D29" t="s">
        <v>172</v>
      </c>
      <c r="E29">
        <v>0</v>
      </c>
      <c r="F29">
        <v>0</v>
      </c>
      <c r="G29">
        <v>1</v>
      </c>
    </row>
    <row r="30" spans="2:7">
      <c r="B30" t="s">
        <v>173</v>
      </c>
      <c r="C30" t="s">
        <v>174</v>
      </c>
      <c r="E30">
        <v>0</v>
      </c>
      <c r="F30">
        <v>0</v>
      </c>
      <c r="G30">
        <v>1</v>
      </c>
    </row>
    <row r="31" spans="2:7">
      <c r="B31" t="s">
        <v>175</v>
      </c>
      <c r="C31" t="s">
        <v>176</v>
      </c>
      <c r="D31" t="s">
        <v>177</v>
      </c>
      <c r="E31">
        <v>0</v>
      </c>
      <c r="F31">
        <v>0</v>
      </c>
      <c r="G31">
        <v>1</v>
      </c>
    </row>
    <row r="32" spans="2:7">
      <c r="B32" t="s">
        <v>178</v>
      </c>
      <c r="C32" t="s">
        <v>179</v>
      </c>
      <c r="D32" t="s">
        <v>180</v>
      </c>
      <c r="E32">
        <v>0</v>
      </c>
      <c r="F32">
        <v>0</v>
      </c>
      <c r="G32">
        <v>1</v>
      </c>
    </row>
    <row r="33" spans="1:7">
      <c r="A33" t="s">
        <v>181</v>
      </c>
      <c r="B33" t="s">
        <v>182</v>
      </c>
      <c r="C33" t="s">
        <v>183</v>
      </c>
      <c r="D33" t="s">
        <v>184</v>
      </c>
      <c r="E33">
        <v>0</v>
      </c>
      <c r="F33">
        <v>0</v>
      </c>
      <c r="G33">
        <v>1</v>
      </c>
    </row>
    <row r="34" spans="1:7">
      <c r="A34" t="s">
        <v>185</v>
      </c>
      <c r="B34" t="s">
        <v>186</v>
      </c>
      <c r="C34" t="s">
        <v>187</v>
      </c>
      <c r="D34" t="s">
        <v>188</v>
      </c>
      <c r="E34">
        <v>0</v>
      </c>
      <c r="F34">
        <v>0</v>
      </c>
      <c r="G34">
        <v>1</v>
      </c>
    </row>
    <row r="35" spans="1:7">
      <c r="A35" t="s">
        <v>189</v>
      </c>
      <c r="B35" t="s">
        <v>190</v>
      </c>
      <c r="C35" t="s">
        <v>191</v>
      </c>
      <c r="D35" t="s">
        <v>192</v>
      </c>
      <c r="E35">
        <v>0</v>
      </c>
      <c r="F35">
        <v>0</v>
      </c>
      <c r="G35">
        <v>1</v>
      </c>
    </row>
    <row r="36" spans="1:7">
      <c r="A36" t="s">
        <v>193</v>
      </c>
      <c r="B36" t="s">
        <v>194</v>
      </c>
      <c r="C36" t="s">
        <v>195</v>
      </c>
      <c r="D36" t="s">
        <v>196</v>
      </c>
      <c r="E36">
        <v>0</v>
      </c>
      <c r="F36">
        <v>0</v>
      </c>
      <c r="G36">
        <v>1</v>
      </c>
    </row>
    <row r="37" spans="1:7">
      <c r="A37" t="s">
        <v>197</v>
      </c>
      <c r="B37" t="s">
        <v>198</v>
      </c>
      <c r="C37" t="s">
        <v>199</v>
      </c>
      <c r="D37" t="s">
        <v>200</v>
      </c>
      <c r="E37">
        <v>0</v>
      </c>
      <c r="F37">
        <v>0</v>
      </c>
      <c r="G37">
        <v>1</v>
      </c>
    </row>
    <row r="38" spans="2:7">
      <c r="B38" t="s">
        <v>201</v>
      </c>
      <c r="C38" t="s">
        <v>202</v>
      </c>
      <c r="D38" t="s">
        <v>203</v>
      </c>
      <c r="E38">
        <v>1</v>
      </c>
      <c r="F38">
        <v>0</v>
      </c>
      <c r="G38">
        <v>0</v>
      </c>
    </row>
    <row r="39" spans="2:7">
      <c r="B39" t="s">
        <v>204</v>
      </c>
      <c r="C39" t="s">
        <v>205</v>
      </c>
      <c r="D39" t="s">
        <v>206</v>
      </c>
      <c r="E39">
        <v>0</v>
      </c>
      <c r="F39">
        <v>2</v>
      </c>
      <c r="G39">
        <v>1</v>
      </c>
    </row>
    <row r="40" spans="2:7">
      <c r="B40" t="s">
        <v>207</v>
      </c>
      <c r="C40" t="s">
        <v>108</v>
      </c>
      <c r="D40" t="s">
        <v>208</v>
      </c>
      <c r="E40">
        <v>1</v>
      </c>
      <c r="F40">
        <v>1</v>
      </c>
      <c r="G40">
        <v>0</v>
      </c>
    </row>
    <row r="41" spans="2:7">
      <c r="B41" t="s">
        <v>209</v>
      </c>
      <c r="C41" t="s">
        <v>210</v>
      </c>
      <c r="D41" t="s">
        <v>211</v>
      </c>
      <c r="E41">
        <v>0</v>
      </c>
      <c r="F41">
        <v>0</v>
      </c>
      <c r="G41">
        <v>1</v>
      </c>
    </row>
    <row r="42" spans="1:7">
      <c r="A42" t="s">
        <v>212</v>
      </c>
      <c r="B42" t="s">
        <v>213</v>
      </c>
      <c r="C42" t="s">
        <v>214</v>
      </c>
      <c r="D42" t="s">
        <v>215</v>
      </c>
      <c r="E42" s="1">
        <v>0</v>
      </c>
      <c r="F42" s="1">
        <v>2</v>
      </c>
      <c r="G42" s="1">
        <v>2</v>
      </c>
    </row>
    <row r="43" spans="3:7">
      <c r="C43" t="s">
        <v>216</v>
      </c>
      <c r="E43" s="1"/>
      <c r="F43" s="1"/>
      <c r="G43" s="1"/>
    </row>
    <row r="44" spans="1:7">
      <c r="A44" t="s">
        <v>217</v>
      </c>
      <c r="B44" t="s">
        <v>218</v>
      </c>
      <c r="C44" t="s">
        <v>219</v>
      </c>
      <c r="D44" t="s">
        <v>220</v>
      </c>
      <c r="E44">
        <v>0</v>
      </c>
      <c r="F44">
        <v>0</v>
      </c>
      <c r="G44">
        <v>1</v>
      </c>
    </row>
    <row r="45" spans="2:7">
      <c r="B45" t="s">
        <v>221</v>
      </c>
      <c r="C45" t="s">
        <v>222</v>
      </c>
      <c r="D45" t="s">
        <v>223</v>
      </c>
      <c r="E45">
        <v>0</v>
      </c>
      <c r="F45">
        <v>0</v>
      </c>
      <c r="G45">
        <v>1</v>
      </c>
    </row>
    <row r="46" spans="2:7">
      <c r="B46" t="s">
        <v>224</v>
      </c>
      <c r="C46" t="s">
        <v>225</v>
      </c>
      <c r="D46" t="s">
        <v>226</v>
      </c>
      <c r="E46" s="1">
        <v>1</v>
      </c>
      <c r="F46" s="1">
        <v>0</v>
      </c>
      <c r="G46" s="1">
        <v>1</v>
      </c>
    </row>
    <row r="47" spans="3:7">
      <c r="C47" t="s">
        <v>227</v>
      </c>
      <c r="D47" t="s">
        <v>228</v>
      </c>
      <c r="E47" s="1"/>
      <c r="F47" s="1"/>
      <c r="G47" s="1"/>
    </row>
    <row r="48" spans="1:7">
      <c r="A48" t="s">
        <v>229</v>
      </c>
      <c r="B48" t="s">
        <v>230</v>
      </c>
      <c r="C48" t="s">
        <v>231</v>
      </c>
      <c r="D48" t="s">
        <v>232</v>
      </c>
      <c r="E48">
        <v>0</v>
      </c>
      <c r="F48">
        <v>0</v>
      </c>
      <c r="G48">
        <v>1</v>
      </c>
    </row>
    <row r="49" spans="2:7">
      <c r="B49" t="s">
        <v>233</v>
      </c>
      <c r="C49" t="s">
        <v>234</v>
      </c>
      <c r="D49" t="s">
        <v>235</v>
      </c>
      <c r="E49">
        <v>0</v>
      </c>
      <c r="F49">
        <v>0</v>
      </c>
      <c r="G49">
        <v>1</v>
      </c>
    </row>
    <row r="50" spans="1:7">
      <c r="A50" t="s">
        <v>236</v>
      </c>
      <c r="B50" t="s">
        <v>237</v>
      </c>
      <c r="C50" t="s">
        <v>238</v>
      </c>
      <c r="D50" t="s">
        <v>239</v>
      </c>
      <c r="E50" s="1">
        <v>1</v>
      </c>
      <c r="F50" s="1">
        <v>0</v>
      </c>
      <c r="G50" s="1">
        <v>2</v>
      </c>
    </row>
    <row r="51" spans="3:7">
      <c r="C51" t="s">
        <v>240</v>
      </c>
      <c r="D51" t="s">
        <v>241</v>
      </c>
      <c r="E51" s="1"/>
      <c r="F51" s="1"/>
      <c r="G51" s="1"/>
    </row>
    <row r="52" spans="3:7">
      <c r="C52" t="s">
        <v>242</v>
      </c>
      <c r="E52" s="1"/>
      <c r="F52" s="1"/>
      <c r="G52" s="1"/>
    </row>
    <row r="53" spans="2:7">
      <c r="B53" t="s">
        <v>243</v>
      </c>
      <c r="C53" t="s">
        <v>244</v>
      </c>
      <c r="D53" t="s">
        <v>245</v>
      </c>
      <c r="E53">
        <v>0</v>
      </c>
      <c r="F53">
        <v>0</v>
      </c>
      <c r="G53">
        <v>1</v>
      </c>
    </row>
    <row r="54" spans="1:7">
      <c r="A54" t="s">
        <v>246</v>
      </c>
      <c r="B54" t="s">
        <v>247</v>
      </c>
      <c r="C54" t="s">
        <v>248</v>
      </c>
      <c r="D54" t="s">
        <v>249</v>
      </c>
      <c r="E54" s="1">
        <v>0</v>
      </c>
      <c r="F54" s="1">
        <v>0</v>
      </c>
      <c r="G54" s="1">
        <v>2</v>
      </c>
    </row>
    <row r="55" spans="3:7">
      <c r="C55" t="s">
        <v>250</v>
      </c>
      <c r="E55" s="1"/>
      <c r="F55" s="1"/>
      <c r="G55" s="1"/>
    </row>
    <row r="56" spans="1:7">
      <c r="A56" t="s">
        <v>251</v>
      </c>
      <c r="B56" t="s">
        <v>252</v>
      </c>
      <c r="C56" t="s">
        <v>253</v>
      </c>
      <c r="D56" t="s">
        <v>254</v>
      </c>
      <c r="E56">
        <v>1</v>
      </c>
      <c r="F56">
        <v>0</v>
      </c>
      <c r="G56">
        <v>0</v>
      </c>
    </row>
    <row r="57" spans="1:7">
      <c r="A57" t="s">
        <v>255</v>
      </c>
      <c r="B57" t="s">
        <v>256</v>
      </c>
      <c r="C57" t="s">
        <v>257</v>
      </c>
      <c r="D57" t="s">
        <v>258</v>
      </c>
      <c r="E57" s="1">
        <v>0</v>
      </c>
      <c r="F57" s="1">
        <v>0</v>
      </c>
      <c r="G57" s="1">
        <v>2</v>
      </c>
    </row>
    <row r="58" spans="3:7">
      <c r="C58" t="s">
        <v>183</v>
      </c>
      <c r="D58" t="s">
        <v>258</v>
      </c>
      <c r="E58" s="1"/>
      <c r="F58" s="1"/>
      <c r="G58" s="1"/>
    </row>
    <row r="59" spans="1:7">
      <c r="A59" t="s">
        <v>259</v>
      </c>
      <c r="B59" t="s">
        <v>260</v>
      </c>
      <c r="C59" t="s">
        <v>244</v>
      </c>
      <c r="D59" t="s">
        <v>261</v>
      </c>
      <c r="E59">
        <v>0</v>
      </c>
      <c r="F59">
        <v>0</v>
      </c>
      <c r="G59">
        <v>1</v>
      </c>
    </row>
    <row r="60" spans="1:7">
      <c r="A60" t="s">
        <v>262</v>
      </c>
      <c r="B60" t="s">
        <v>263</v>
      </c>
      <c r="C60" t="s">
        <v>264</v>
      </c>
      <c r="D60" t="s">
        <v>265</v>
      </c>
      <c r="E60">
        <v>0</v>
      </c>
      <c r="F60">
        <v>0</v>
      </c>
      <c r="G60">
        <v>1</v>
      </c>
    </row>
    <row r="61" spans="2:7">
      <c r="B61" t="s">
        <v>266</v>
      </c>
      <c r="C61" t="s">
        <v>267</v>
      </c>
      <c r="D61" t="s">
        <v>268</v>
      </c>
      <c r="E61">
        <v>1</v>
      </c>
      <c r="F61">
        <v>0</v>
      </c>
      <c r="G61">
        <v>0</v>
      </c>
    </row>
    <row r="62" spans="1:7">
      <c r="A62" t="s">
        <v>269</v>
      </c>
      <c r="B62" t="s">
        <v>270</v>
      </c>
      <c r="C62" t="s">
        <v>271</v>
      </c>
      <c r="D62" t="s">
        <v>272</v>
      </c>
      <c r="E62">
        <v>0</v>
      </c>
      <c r="F62">
        <v>0</v>
      </c>
      <c r="G62">
        <v>1</v>
      </c>
    </row>
    <row r="63" spans="1:7">
      <c r="A63" t="s">
        <v>273</v>
      </c>
      <c r="B63" t="s">
        <v>274</v>
      </c>
      <c r="C63" t="s">
        <v>275</v>
      </c>
      <c r="D63" t="s">
        <v>276</v>
      </c>
      <c r="E63">
        <v>0</v>
      </c>
      <c r="F63">
        <v>0</v>
      </c>
      <c r="G63">
        <v>1</v>
      </c>
    </row>
    <row r="64" spans="2:7">
      <c r="B64" t="s">
        <v>277</v>
      </c>
      <c r="C64" t="s">
        <v>278</v>
      </c>
      <c r="E64">
        <v>0</v>
      </c>
      <c r="F64">
        <v>2</v>
      </c>
      <c r="G64">
        <v>1</v>
      </c>
    </row>
    <row r="65" spans="1:7">
      <c r="A65" t="s">
        <v>279</v>
      </c>
      <c r="B65" t="s">
        <v>280</v>
      </c>
      <c r="C65" t="s">
        <v>281</v>
      </c>
      <c r="D65" t="s">
        <v>282</v>
      </c>
      <c r="E65">
        <v>1</v>
      </c>
      <c r="F65">
        <v>0</v>
      </c>
      <c r="G65">
        <v>0</v>
      </c>
    </row>
    <row r="66" spans="2:8">
      <c r="B66" t="s">
        <v>283</v>
      </c>
      <c r="C66" t="s">
        <v>284</v>
      </c>
      <c r="D66" t="s">
        <v>285</v>
      </c>
      <c r="E66" s="1">
        <v>0</v>
      </c>
      <c r="F66" s="1">
        <v>0</v>
      </c>
      <c r="G66" s="1">
        <v>2</v>
      </c>
      <c r="H66" s="1">
        <v>2</v>
      </c>
    </row>
    <row r="67" spans="3:8">
      <c r="C67" t="s">
        <v>286</v>
      </c>
      <c r="E67" s="1"/>
      <c r="F67" s="1"/>
      <c r="G67" s="1"/>
      <c r="H67" s="1"/>
    </row>
    <row r="68" spans="1:7">
      <c r="A68" t="s">
        <v>287</v>
      </c>
      <c r="B68" t="s">
        <v>288</v>
      </c>
      <c r="C68" t="s">
        <v>289</v>
      </c>
      <c r="D68" t="s">
        <v>290</v>
      </c>
      <c r="E68">
        <v>1</v>
      </c>
      <c r="F68">
        <v>2</v>
      </c>
      <c r="G68">
        <v>0</v>
      </c>
    </row>
    <row r="69" spans="1:7">
      <c r="A69" t="s">
        <v>291</v>
      </c>
      <c r="B69" t="s">
        <v>292</v>
      </c>
      <c r="C69" t="s">
        <v>293</v>
      </c>
      <c r="D69" t="s">
        <v>294</v>
      </c>
      <c r="E69">
        <v>0</v>
      </c>
      <c r="F69">
        <v>1</v>
      </c>
      <c r="G69">
        <v>1</v>
      </c>
    </row>
    <row r="70" spans="1:7">
      <c r="A70" t="s">
        <v>295</v>
      </c>
      <c r="B70" t="s">
        <v>296</v>
      </c>
      <c r="C70" t="s">
        <v>297</v>
      </c>
      <c r="D70" t="s">
        <v>298</v>
      </c>
      <c r="E70">
        <v>0</v>
      </c>
      <c r="F70">
        <v>0</v>
      </c>
      <c r="G70">
        <v>1</v>
      </c>
    </row>
    <row r="71" spans="1:7">
      <c r="A71" t="s">
        <v>299</v>
      </c>
      <c r="B71" t="s">
        <v>300</v>
      </c>
      <c r="C71" t="s">
        <v>176</v>
      </c>
      <c r="D71" t="s">
        <v>301</v>
      </c>
      <c r="E71">
        <v>1</v>
      </c>
      <c r="F71">
        <v>0</v>
      </c>
      <c r="G71">
        <v>0</v>
      </c>
    </row>
    <row r="72" spans="1:7">
      <c r="A72" t="s">
        <v>302</v>
      </c>
      <c r="B72" t="s">
        <v>303</v>
      </c>
      <c r="C72" t="s">
        <v>304</v>
      </c>
      <c r="D72" t="s">
        <v>305</v>
      </c>
      <c r="E72">
        <v>1</v>
      </c>
      <c r="F72">
        <v>0</v>
      </c>
      <c r="G72">
        <v>0</v>
      </c>
    </row>
    <row r="73" spans="2:7">
      <c r="B73" t="s">
        <v>306</v>
      </c>
      <c r="C73" t="s">
        <v>307</v>
      </c>
      <c r="D73" t="s">
        <v>308</v>
      </c>
      <c r="E73">
        <v>0</v>
      </c>
      <c r="F73">
        <v>0</v>
      </c>
      <c r="G73">
        <v>1</v>
      </c>
    </row>
    <row r="74" spans="1:7">
      <c r="A74" t="s">
        <v>309</v>
      </c>
      <c r="B74" t="s">
        <v>310</v>
      </c>
      <c r="C74" t="s">
        <v>311</v>
      </c>
      <c r="D74" t="s">
        <v>312</v>
      </c>
      <c r="E74">
        <v>1</v>
      </c>
      <c r="F74">
        <v>0</v>
      </c>
      <c r="G74">
        <v>0</v>
      </c>
    </row>
    <row r="75" spans="1:7">
      <c r="A75" t="s">
        <v>313</v>
      </c>
      <c r="B75" t="s">
        <v>314</v>
      </c>
      <c r="C75" t="s">
        <v>315</v>
      </c>
      <c r="D75" t="s">
        <v>316</v>
      </c>
      <c r="E75">
        <v>0</v>
      </c>
      <c r="F75">
        <v>0</v>
      </c>
      <c r="G75">
        <v>1</v>
      </c>
    </row>
    <row r="76" spans="1:8">
      <c r="A76" t="s">
        <v>317</v>
      </c>
      <c r="B76" t="s">
        <v>318</v>
      </c>
      <c r="C76" t="s">
        <v>319</v>
      </c>
      <c r="D76" t="s">
        <v>320</v>
      </c>
      <c r="E76">
        <v>0</v>
      </c>
      <c r="F76">
        <v>0</v>
      </c>
      <c r="G76">
        <v>1</v>
      </c>
      <c r="H76">
        <v>2</v>
      </c>
    </row>
    <row r="77" spans="1:7">
      <c r="A77" t="s">
        <v>321</v>
      </c>
      <c r="B77" t="s">
        <v>322</v>
      </c>
      <c r="C77" t="s">
        <v>323</v>
      </c>
      <c r="D77" t="s">
        <v>324</v>
      </c>
      <c r="E77">
        <v>0</v>
      </c>
      <c r="F77">
        <v>0</v>
      </c>
      <c r="G77">
        <v>1</v>
      </c>
    </row>
    <row r="78" spans="1:7">
      <c r="A78" t="s">
        <v>325</v>
      </c>
      <c r="B78" t="s">
        <v>326</v>
      </c>
      <c r="C78" t="s">
        <v>327</v>
      </c>
      <c r="D78" t="s">
        <v>328</v>
      </c>
      <c r="E78">
        <v>0</v>
      </c>
      <c r="F78">
        <v>0</v>
      </c>
      <c r="G78">
        <v>1</v>
      </c>
    </row>
    <row r="79" spans="2:7">
      <c r="B79" t="s">
        <v>329</v>
      </c>
      <c r="C79" t="s">
        <v>330</v>
      </c>
      <c r="D79" t="s">
        <v>331</v>
      </c>
      <c r="E79">
        <v>0</v>
      </c>
      <c r="F79">
        <v>0</v>
      </c>
      <c r="G79">
        <v>1</v>
      </c>
    </row>
    <row r="80" spans="2:7">
      <c r="B80" t="s">
        <v>332</v>
      </c>
      <c r="C80" t="s">
        <v>333</v>
      </c>
      <c r="D80" t="s">
        <v>334</v>
      </c>
      <c r="E80">
        <v>0</v>
      </c>
      <c r="F80">
        <v>0</v>
      </c>
      <c r="G80">
        <v>1</v>
      </c>
    </row>
    <row r="81" spans="1:7">
      <c r="A81" t="s">
        <v>335</v>
      </c>
      <c r="B81" t="s">
        <v>336</v>
      </c>
      <c r="C81" t="s">
        <v>244</v>
      </c>
      <c r="D81" t="s">
        <v>337</v>
      </c>
      <c r="E81">
        <v>0</v>
      </c>
      <c r="F81">
        <v>0</v>
      </c>
      <c r="G81">
        <v>1</v>
      </c>
    </row>
    <row r="82" spans="1:7">
      <c r="A82" t="s">
        <v>338</v>
      </c>
      <c r="B82" t="s">
        <v>339</v>
      </c>
      <c r="C82" t="s">
        <v>340</v>
      </c>
      <c r="D82" t="s">
        <v>340</v>
      </c>
      <c r="E82">
        <v>1</v>
      </c>
      <c r="F82">
        <v>0</v>
      </c>
      <c r="G82">
        <v>0</v>
      </c>
    </row>
    <row r="83" spans="2:7">
      <c r="B83" t="s">
        <v>341</v>
      </c>
      <c r="C83" t="s">
        <v>342</v>
      </c>
      <c r="D83" t="s">
        <v>343</v>
      </c>
      <c r="E83">
        <v>0</v>
      </c>
      <c r="F83">
        <v>0</v>
      </c>
      <c r="G83">
        <v>1</v>
      </c>
    </row>
    <row r="84" spans="1:7">
      <c r="A84" t="s">
        <v>344</v>
      </c>
      <c r="B84" t="s">
        <v>345</v>
      </c>
      <c r="C84" t="s">
        <v>346</v>
      </c>
      <c r="D84" t="s">
        <v>347</v>
      </c>
      <c r="E84">
        <v>1</v>
      </c>
      <c r="F84">
        <v>3</v>
      </c>
      <c r="G84">
        <v>0</v>
      </c>
    </row>
    <row r="85" spans="1:7">
      <c r="A85" t="s">
        <v>348</v>
      </c>
      <c r="B85" t="s">
        <v>349</v>
      </c>
      <c r="C85" t="s">
        <v>350</v>
      </c>
      <c r="D85" t="s">
        <v>351</v>
      </c>
      <c r="E85">
        <v>1</v>
      </c>
      <c r="F85">
        <v>0</v>
      </c>
      <c r="G85">
        <v>0</v>
      </c>
    </row>
    <row r="86" spans="1:7">
      <c r="A86" t="s">
        <v>352</v>
      </c>
      <c r="B86" t="s">
        <v>353</v>
      </c>
      <c r="C86" t="s">
        <v>354</v>
      </c>
      <c r="D86" t="s">
        <v>355</v>
      </c>
      <c r="E86">
        <v>1</v>
      </c>
      <c r="F86">
        <v>0</v>
      </c>
      <c r="G86">
        <v>0</v>
      </c>
    </row>
    <row r="87" spans="1:7">
      <c r="A87" t="s">
        <v>356</v>
      </c>
      <c r="B87" t="s">
        <v>149</v>
      </c>
      <c r="C87" t="s">
        <v>357</v>
      </c>
      <c r="D87" t="s">
        <v>358</v>
      </c>
      <c r="E87">
        <v>1</v>
      </c>
      <c r="F87">
        <v>0</v>
      </c>
      <c r="G87">
        <v>0</v>
      </c>
    </row>
    <row r="88" spans="1:8">
      <c r="A88" t="s">
        <v>359</v>
      </c>
      <c r="B88" t="s">
        <v>360</v>
      </c>
      <c r="C88" t="s">
        <v>361</v>
      </c>
      <c r="D88" t="s">
        <v>362</v>
      </c>
      <c r="E88">
        <v>0</v>
      </c>
      <c r="F88">
        <v>0</v>
      </c>
      <c r="G88">
        <v>1</v>
      </c>
      <c r="H88">
        <v>1</v>
      </c>
    </row>
    <row r="89" spans="2:8">
      <c r="B89" t="s">
        <v>363</v>
      </c>
      <c r="C89" t="s">
        <v>361</v>
      </c>
      <c r="E89">
        <v>0</v>
      </c>
      <c r="F89">
        <v>0</v>
      </c>
      <c r="G89">
        <v>2</v>
      </c>
      <c r="H89">
        <v>1</v>
      </c>
    </row>
    <row r="90" spans="1:3">
      <c r="A90" t="s">
        <v>364</v>
      </c>
      <c r="B90" t="s">
        <v>365</v>
      </c>
      <c r="C90" t="s">
        <v>366</v>
      </c>
    </row>
    <row r="91" spans="4:8">
      <c r="D91" t="s">
        <v>39</v>
      </c>
      <c r="E91">
        <f>SUM(E3:E89)</f>
        <v>28</v>
      </c>
      <c r="F91">
        <f>SUM(F3:F89)</f>
        <v>19</v>
      </c>
      <c r="G91">
        <f>SUM(G3:G89)</f>
        <v>60</v>
      </c>
      <c r="H91">
        <f>SUM(H3:H89)</f>
        <v>6</v>
      </c>
    </row>
    <row r="92" spans="4:5">
      <c r="D92" t="s">
        <v>42</v>
      </c>
      <c r="E92">
        <f>(E91)/(E91+F91)</f>
        <v>0.595744680851064</v>
      </c>
    </row>
    <row r="93" spans="4:5">
      <c r="D93" t="s">
        <v>43</v>
      </c>
      <c r="E93">
        <f>E91/(E91+G91)</f>
        <v>0.318181818181818</v>
      </c>
    </row>
    <row r="94" spans="4:5">
      <c r="D94" t="s">
        <v>45</v>
      </c>
      <c r="E94">
        <f>2*E92*E93/(E92+E93)</f>
        <v>0.414814814814815</v>
      </c>
    </row>
  </sheetData>
  <mergeCells count="31">
    <mergeCell ref="E3:E6"/>
    <mergeCell ref="E12:E13"/>
    <mergeCell ref="E17:E18"/>
    <mergeCell ref="E26:E27"/>
    <mergeCell ref="E42:E43"/>
    <mergeCell ref="E46:E47"/>
    <mergeCell ref="E50:E52"/>
    <mergeCell ref="E54:E55"/>
    <mergeCell ref="E57:E58"/>
    <mergeCell ref="E66:E67"/>
    <mergeCell ref="F3:F6"/>
    <mergeCell ref="F12:F13"/>
    <mergeCell ref="F17:F18"/>
    <mergeCell ref="F26:F27"/>
    <mergeCell ref="F42:F43"/>
    <mergeCell ref="F46:F47"/>
    <mergeCell ref="F50:F52"/>
    <mergeCell ref="F54:F55"/>
    <mergeCell ref="F57:F58"/>
    <mergeCell ref="F66:F67"/>
    <mergeCell ref="G3:G6"/>
    <mergeCell ref="G12:G13"/>
    <mergeCell ref="G17:G18"/>
    <mergeCell ref="G26:G27"/>
    <mergeCell ref="G42:G43"/>
    <mergeCell ref="G46:G47"/>
    <mergeCell ref="G50:G52"/>
    <mergeCell ref="G54:G55"/>
    <mergeCell ref="G57:G58"/>
    <mergeCell ref="G66:G67"/>
    <mergeCell ref="H66:H67"/>
  </mergeCells>
  <pageMargins left="0.75" right="0.75" top="1" bottom="1" header="0.5" footer="0.5"/>
  <headerFooter/>
  <ignoredErrors>
    <ignoredError sqref="A9:D12 D8 A8:B8 A7:D7 D3 A3:B6 A1:G2 D4:G6 A90:G90 A89:D89 D88 A88:B88 A77:D87 A75:B76 A69:D74 D68 A68:B68 A67:G67 A65:D66 C64:D64 A64 D63 A63:B63 A62:D62 D61 A61:B61 A59:D60 A58:G58 A57:D57 D56 A56:B56 A55:G55 A53:D54 A51:G52 D50 A50 A48:D49 A47:G47 A44:D46 A43:G43 A42:D42 D41 A41:B41 A40:D40 D38:D39 A38:B39 A35:D37 D34 A34:B34 A28:D33 A27:G27 A26:D26 D24:D25 A24:B25 A22:D23 D21 A21:B21 A19:D20 A18:G18 A14:D17 A13:G13 D75:D7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CVE</vt:lpstr>
      <vt:lpstr>smartbug_curated</vt:lpstr>
      <vt:lpstr>code4rena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刘雨松</cp:lastModifiedBy>
  <dcterms:created xsi:type="dcterms:W3CDTF">2025-10-30T08:18:00Z</dcterms:created>
  <dcterms:modified xsi:type="dcterms:W3CDTF">2025-10-31T08:11:35Z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2C6B0A179975482ABC83FA61886DAFFE_12</vt:lpwstr>
  </property>
  <property fmtid="{D5CDD505-2E9C-101B-9397-08002B2CF9AE}" pid="3" name="KSOProductBuildVer">
    <vt:lpwstr>2052-12.1.0.21541</vt:lpwstr>
  </property>
</Properties>
</file>