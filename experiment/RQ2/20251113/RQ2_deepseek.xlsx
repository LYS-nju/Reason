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22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<sst xmlns="http://schemas.openxmlformats.org/spreadsheetml/2006/main" count="124" uniqueCount="111">
  <si>
    <t>contract</t>
  </si>
  <si>
    <t>Vulnerability 
Function</t>
  </si>
  <si>
    <t>Deepseek 1</t>
  </si>
  <si>
    <t>TP</t>
  </si>
  <si>
    <t>FP</t>
  </si>
  <si>
    <t>FN</t>
  </si>
  <si>
    <t>Affect</t>
  </si>
  <si>
    <t>Suspicious</t>
  </si>
  <si>
    <t>P404Token.sol</t>
  </si>
  <si>
    <t>transfer</t>
  </si>
  <si>
    <t>TSURUWrapper.sol</t>
  </si>
  <si>
    <t>onERC1155Received</t>
  </si>
  <si>
    <t>NGFSToken.sol</t>
  </si>
  <si>
    <t>reserveMultiSync</t>
  </si>
  <si>
    <t>SpotVault.sol</t>
  </si>
  <si>
    <t>redeem</t>
  </si>
  <si>
    <t>XBridge.sol</t>
  </si>
  <si>
    <t>listToken</t>
  </si>
  <si>
    <t>Reward.sol</t>
  </si>
  <si>
    <t>setReward</t>
  </si>
  <si>
    <t>MinterProxyV2.sol</t>
  </si>
  <si>
    <t>swap</t>
  </si>
  <si>
    <t>BasePortfolioV2.sol</t>
  </si>
  <si>
    <t>LinearVesting.sol</t>
  </si>
  <si>
    <t>init</t>
  </si>
  <si>
    <t>LiquidXv2Zap.sol</t>
  </si>
  <si>
    <t>deposit</t>
  </si>
  <si>
    <t>EthVault.impl.sol</t>
  </si>
  <si>
    <t>withdraw</t>
  </si>
  <si>
    <t>Forwarder.sol</t>
  </si>
  <si>
    <t>execute</t>
  </si>
  <si>
    <t>AISPACE.sol</t>
  </si>
  <si>
    <t>setSwapPairs</t>
  </si>
  <si>
    <t>LaunchpadLockableStaking.sol</t>
  </si>
  <si>
    <t>receiveUpPool</t>
  </si>
  <si>
    <t>CoinToken.sol</t>
  </si>
  <si>
    <t>burn</t>
  </si>
  <si>
    <t>LeetSwapV2Pair.sol</t>
  </si>
  <si>
    <t>_transferFeesSupportingTaxTokens</t>
  </si>
  <si>
    <t>Bean.sol</t>
  </si>
  <si>
    <t>claim</t>
  </si>
  <si>
    <t>V3Migrator.sol</t>
  </si>
  <si>
    <t>migrate</t>
  </si>
  <si>
    <t>ZeroXStargateLPSwapper.sol</t>
  </si>
  <si>
    <t>CurveSwap.sol</t>
  </si>
  <si>
    <t>approveToken</t>
  </si>
  <si>
    <t>landNFT.sol</t>
  </si>
  <si>
    <t>mint</t>
  </si>
  <si>
    <t>StakingRewards.sol</t>
  </si>
  <si>
    <t>addLiquidity</t>
  </si>
  <si>
    <t>cERC20.sol</t>
  </si>
  <si>
    <t>Safemoon.sol</t>
  </si>
  <si>
    <t>DxBurnToken.sol</t>
  </si>
  <si>
    <t>leveragedPool.sol</t>
  </si>
  <si>
    <t>delegateCallSwap</t>
  </si>
  <si>
    <t>SwapXProxy.sol</t>
  </si>
  <si>
    <t>AurumNodePool.sol</t>
  </si>
  <si>
    <t>changeRewardPerNode</t>
  </si>
  <si>
    <t>BGeoToken.sol</t>
  </si>
  <si>
    <t>isSigned</t>
  </si>
  <si>
    <t>MintableAutoCompundRelockBonus.sol</t>
  </si>
  <si>
    <t>setToken</t>
  </si>
  <si>
    <t>Token.sol</t>
  </si>
  <si>
    <t>StaxLPStaking.sol</t>
  </si>
  <si>
    <t>migrateStake</t>
  </si>
  <si>
    <t>token.sol</t>
  </si>
  <si>
    <t>transReward</t>
  </si>
  <si>
    <t>BabySmartRouter.sol</t>
  </si>
  <si>
    <t>swapExactTokensForTokens</t>
  </si>
  <si>
    <t>ROIToken.sol</t>
  </si>
  <si>
    <t>transferOwnership</t>
  </si>
  <si>
    <t>Bad_Guys_by_RPF.sol</t>
  </si>
  <si>
    <t>WhiteListMint</t>
  </si>
  <si>
    <t>ShadowFi.sol</t>
  </si>
  <si>
    <t>ReaperVaultV2.sol</t>
  </si>
  <si>
    <t>SpaceGodzilla.sol</t>
  </si>
  <si>
    <t>swapAndLiquifyStepv1</t>
  </si>
  <si>
    <t>ExchangeV4.sol</t>
  </si>
  <si>
    <t>fillSellOrder</t>
  </si>
  <si>
    <t>GymSinglePool.sol</t>
  </si>
  <si>
    <t>depositFromOtherContract</t>
  </si>
  <si>
    <t>NOVO.sol</t>
  </si>
  <si>
    <t>transferFrom</t>
  </si>
  <si>
    <t>CErc20.sol</t>
  </si>
  <si>
    <t>sweepToken</t>
  </si>
  <si>
    <t>ERC721BaseToken.sol</t>
  </si>
  <si>
    <t>_burn</t>
  </si>
  <si>
    <t>AnyswapV4Router.sol</t>
  </si>
  <si>
    <t>anySwapOutUnderlyingWithPermit</t>
  </si>
  <si>
    <t>RewardsHypervisor.sol</t>
  </si>
  <si>
    <t>GrimBoostVault.sol</t>
  </si>
  <si>
    <t>depositFor</t>
  </si>
  <si>
    <t>NFT.sol</t>
  </si>
  <si>
    <t>DVM.sol</t>
  </si>
  <si>
    <t>SealVoteToken.sol</t>
  </si>
  <si>
    <t>breed</t>
  </si>
  <si>
    <t>ControllerV4.sol</t>
  </si>
  <si>
    <t>swapExactJarForJar</t>
  </si>
  <si>
    <t>BancorNetwork.sol</t>
  </si>
  <si>
    <t>safeTransferFrom</t>
  </si>
  <si>
    <t>AditusToken.sol</t>
  </si>
  <si>
    <t>approveAndCall</t>
  </si>
  <si>
    <t>Virgo_ZodiacToken.sol</t>
  </si>
  <si>
    <t>SimplePriceOracle.sol</t>
  </si>
  <si>
    <t>setOracleData</t>
  </si>
  <si>
    <t>WalletLibrary.sol</t>
  </si>
  <si>
    <t>initWallet</t>
  </si>
  <si>
    <t>Sum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</si>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</sst>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.8"/>
      <name val="Courier New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wrapText="1"/>
    </xf>
    <xf numFmtId="0" fontId="2" fillId="0" borderId="0" xfId="0" applyFont="1">
      <alignment vertical="center"/>
    </xf>
    <xf numFmtId="0" fontId="3" fillId="0" borderId="0" xfId="0" applyFont="1" applyAlignment="1"/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topLeftCell="A30" workbookViewId="0">
      <selection activeCell="I53" sqref="I53"/>
    </sheetView>
  </sheetViews>
  <sheetFormatPr defaultColWidth="9" defaultRowHeight="14" outlineLevelCol="6"/>
  <cols>
    <col min="1" max="1" width="20" customWidth="1"/>
    <col min="2" max="2" width="16.9090909090909" customWidth="1"/>
    <col min="3" max="3" width="12.8181818181818"/>
  </cols>
  <sheetData>
    <row r="1" ht="30" spans="1:7">
      <c r="A1" s="1" t="s">
        <v>0</v>
      </c>
      <c r="B1" s="2" t="s">
        <v>1</v>
      </c>
      <c r="C1" s="1" t="s">
        <v>2</v>
      </c>
      <c r="D1" s="1"/>
      <c r="E1" s="1"/>
      <c r="F1" s="1"/>
    </row>
    <row r="2" ht="15" spans="1:7">
      <c r="A2" s="3"/>
      <c r="B2" s="4"/>
      <c r="C2" s="1" t="s">
        <v>3</v>
      </c>
      <c r="D2" s="1" t="s">
        <v>4</v>
      </c>
      <c r="E2" s="1" t="s">
        <v>5</v>
      </c>
      <c r="F2" s="1" t="s">
        <v>6</v>
      </c>
      <c r="G2" t="s">
        <v>7</v>
      </c>
    </row>
    <row r="3" spans="1:7">
      <c r="A3" s="3" t="s">
        <v>8</v>
      </c>
      <c r="B3" s="4" t="s">
        <v>9</v>
      </c>
      <c r="C3">
        <v>0</v>
      </c>
      <c r="D3">
        <v>0</v>
      </c>
      <c r="E3">
        <v>1</v>
      </c>
      <c r="F3">
        <v>0</v>
      </c>
      <c r="G3">
        <v>0</v>
      </c>
    </row>
    <row r="4" spans="1:7">
      <c r="A4" t="s">
        <v>10</v>
      </c>
      <c r="B4" s="4" t="s">
        <v>11</v>
      </c>
      <c r="C4">
        <v>1</v>
      </c>
      <c r="D4">
        <v>0</v>
      </c>
      <c r="E4">
        <v>0</v>
      </c>
      <c r="F4">
        <v>0</v>
      </c>
      <c r="G4">
        <v>0</v>
      </c>
    </row>
    <row r="5" spans="1:7">
      <c r="A5" t="s">
        <v>12</v>
      </c>
      <c r="B5" s="4" t="s">
        <v>13</v>
      </c>
      <c r="C5">
        <v>1</v>
      </c>
      <c r="D5">
        <v>2</v>
      </c>
      <c r="E5">
        <v>0</v>
      </c>
      <c r="F5">
        <v>0</v>
      </c>
      <c r="G5">
        <v>1</v>
      </c>
    </row>
    <row r="6" spans="1:7">
      <c r="A6" t="s">
        <v>14</v>
      </c>
      <c r="B6" s="4" t="s">
        <v>15</v>
      </c>
      <c r="C6">
        <v>0</v>
      </c>
      <c r="D6">
        <v>0</v>
      </c>
      <c r="E6">
        <v>1</v>
      </c>
      <c r="F6">
        <v>0</v>
      </c>
      <c r="G6">
        <v>0</v>
      </c>
    </row>
    <row r="7" spans="1:7">
      <c r="A7" t="s">
        <v>16</v>
      </c>
      <c r="B7" s="4" t="s">
        <v>17</v>
      </c>
      <c r="C7">
        <v>1</v>
      </c>
      <c r="D7">
        <v>0</v>
      </c>
      <c r="E7">
        <v>0</v>
      </c>
      <c r="F7">
        <v>0</v>
      </c>
      <c r="G7">
        <v>1</v>
      </c>
    </row>
    <row r="8" spans="1:7">
      <c r="A8" t="s">
        <v>18</v>
      </c>
      <c r="B8" s="4" t="s">
        <v>19</v>
      </c>
      <c r="C8">
        <v>1</v>
      </c>
      <c r="D8">
        <v>1</v>
      </c>
      <c r="E8">
        <v>0</v>
      </c>
      <c r="F8">
        <v>0</v>
      </c>
      <c r="G8">
        <v>2</v>
      </c>
    </row>
    <row r="9" spans="1:7">
      <c r="A9" t="s">
        <v>20</v>
      </c>
      <c r="B9" s="4" t="s">
        <v>21</v>
      </c>
      <c r="C9">
        <v>1</v>
      </c>
      <c r="D9">
        <v>1</v>
      </c>
      <c r="E9">
        <v>0</v>
      </c>
      <c r="F9">
        <v>0</v>
      </c>
      <c r="G9">
        <v>0</v>
      </c>
    </row>
    <row r="10" spans="1:7">
      <c r="A10" t="s">
        <v>22</v>
      </c>
      <c r="B10" s="4" t="s">
        <v>21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t="s">
        <v>23</v>
      </c>
      <c r="B11" s="4" t="s">
        <v>24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 t="s">
        <v>25</v>
      </c>
      <c r="B12" s="4" t="s">
        <v>26</v>
      </c>
      <c r="C12">
        <v>0</v>
      </c>
      <c r="D12">
        <v>0</v>
      </c>
      <c r="E12">
        <v>1</v>
      </c>
      <c r="F12">
        <v>0</v>
      </c>
      <c r="G12">
        <v>0</v>
      </c>
    </row>
    <row r="13" spans="1:7">
      <c r="A13" t="s">
        <v>27</v>
      </c>
      <c r="B13" s="4" t="s">
        <v>28</v>
      </c>
      <c r="C13">
        <v>0</v>
      </c>
      <c r="D13">
        <v>0</v>
      </c>
      <c r="E13">
        <v>1</v>
      </c>
      <c r="F13">
        <v>0</v>
      </c>
      <c r="G13">
        <v>0</v>
      </c>
    </row>
    <row r="14" spans="1:7">
      <c r="A14" t="s">
        <v>29</v>
      </c>
      <c r="B14" s="4" t="s">
        <v>30</v>
      </c>
      <c r="C14">
        <v>0</v>
      </c>
      <c r="D14">
        <v>0</v>
      </c>
      <c r="E14">
        <v>1</v>
      </c>
      <c r="F14">
        <v>0</v>
      </c>
      <c r="G14">
        <v>0</v>
      </c>
    </row>
    <row r="15" spans="1:7">
      <c r="A15" t="s">
        <v>31</v>
      </c>
      <c r="B15" s="4" t="s">
        <v>32</v>
      </c>
      <c r="C15">
        <v>1</v>
      </c>
      <c r="D15">
        <v>0</v>
      </c>
      <c r="E15">
        <v>0</v>
      </c>
      <c r="F15">
        <v>0</v>
      </c>
      <c r="G15">
        <v>1</v>
      </c>
    </row>
    <row r="16" spans="1:7">
      <c r="A16" t="s">
        <v>33</v>
      </c>
      <c r="B16" s="4" t="s">
        <v>34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>
      <c r="A17" t="s">
        <v>35</v>
      </c>
      <c r="B17" s="4" t="s">
        <v>36</v>
      </c>
      <c r="C17">
        <v>0</v>
      </c>
      <c r="D17">
        <v>1</v>
      </c>
      <c r="E17">
        <v>1</v>
      </c>
      <c r="F17">
        <v>0</v>
      </c>
      <c r="G17">
        <v>0</v>
      </c>
    </row>
    <row r="18" spans="1:7">
      <c r="A18" t="s">
        <v>37</v>
      </c>
      <c r="B18" s="4" t="s">
        <v>38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>
      <c r="A19" t="s">
        <v>39</v>
      </c>
      <c r="B19" s="4" t="s">
        <v>40</v>
      </c>
      <c r="C19">
        <v>0</v>
      </c>
      <c r="D19">
        <v>0</v>
      </c>
      <c r="E19">
        <v>1</v>
      </c>
      <c r="F19">
        <v>0</v>
      </c>
      <c r="G19">
        <v>0</v>
      </c>
    </row>
    <row r="20" spans="1:7">
      <c r="A20" t="s">
        <v>41</v>
      </c>
      <c r="B20" s="4" t="s">
        <v>42</v>
      </c>
      <c r="C20">
        <v>0</v>
      </c>
      <c r="D20">
        <v>1</v>
      </c>
      <c r="E20">
        <v>1</v>
      </c>
      <c r="F20">
        <v>0</v>
      </c>
      <c r="G20">
        <v>4</v>
      </c>
    </row>
    <row r="21" spans="1:7">
      <c r="A21" t="s">
        <v>43</v>
      </c>
      <c r="B21" s="4" t="s">
        <v>21</v>
      </c>
      <c r="C21">
        <v>1</v>
      </c>
      <c r="D21">
        <v>0</v>
      </c>
      <c r="E21">
        <v>0</v>
      </c>
      <c r="F21">
        <v>0</v>
      </c>
      <c r="G21">
        <v>0</v>
      </c>
    </row>
    <row r="22" spans="1:7">
      <c r="A22" t="s">
        <v>44</v>
      </c>
      <c r="B22" s="4" t="s">
        <v>45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>
      <c r="A23" t="s">
        <v>46</v>
      </c>
      <c r="B23" s="4" t="s">
        <v>47</v>
      </c>
      <c r="C23">
        <v>0</v>
      </c>
      <c r="D23">
        <v>1</v>
      </c>
      <c r="E23">
        <v>1</v>
      </c>
      <c r="F23">
        <v>0</v>
      </c>
      <c r="G23">
        <v>0</v>
      </c>
    </row>
    <row r="24" spans="1:7">
      <c r="A24" t="s">
        <v>48</v>
      </c>
      <c r="B24" s="4" t="s">
        <v>49</v>
      </c>
      <c r="C24">
        <v>1</v>
      </c>
      <c r="D24">
        <v>2</v>
      </c>
      <c r="E24">
        <v>0</v>
      </c>
      <c r="F24">
        <v>0</v>
      </c>
      <c r="G24">
        <v>1</v>
      </c>
    </row>
    <row r="25" spans="1:7">
      <c r="A25" t="s">
        <v>50</v>
      </c>
      <c r="B25" s="4" t="s">
        <v>47</v>
      </c>
      <c r="C25">
        <v>1</v>
      </c>
      <c r="D25">
        <v>0</v>
      </c>
      <c r="E25">
        <v>0</v>
      </c>
      <c r="F25">
        <v>0</v>
      </c>
      <c r="G25">
        <v>0</v>
      </c>
    </row>
    <row r="26" spans="1:7">
      <c r="A26" t="s">
        <v>51</v>
      </c>
      <c r="B26" s="4" t="s">
        <v>36</v>
      </c>
      <c r="C26">
        <v>1</v>
      </c>
      <c r="D26">
        <v>0</v>
      </c>
      <c r="E26">
        <v>0</v>
      </c>
      <c r="F26">
        <v>0</v>
      </c>
      <c r="G26">
        <v>0</v>
      </c>
    </row>
    <row r="27" spans="1:7">
      <c r="A27" t="s">
        <v>52</v>
      </c>
      <c r="B27" s="4" t="s">
        <v>36</v>
      </c>
      <c r="C27">
        <v>0</v>
      </c>
      <c r="D27">
        <v>0</v>
      </c>
      <c r="E27">
        <v>1</v>
      </c>
      <c r="F27">
        <v>0</v>
      </c>
      <c r="G27">
        <v>0</v>
      </c>
    </row>
    <row r="28" spans="1:7">
      <c r="A28" t="s">
        <v>53</v>
      </c>
      <c r="B28" s="4" t="s">
        <v>54</v>
      </c>
      <c r="C28">
        <v>1</v>
      </c>
      <c r="D28">
        <v>1</v>
      </c>
      <c r="E28">
        <v>0</v>
      </c>
      <c r="F28">
        <v>0</v>
      </c>
      <c r="G28">
        <v>0</v>
      </c>
    </row>
    <row r="29" spans="1:7">
      <c r="A29" t="s">
        <v>55</v>
      </c>
      <c r="B29" s="4" t="s">
        <v>21</v>
      </c>
      <c r="C29">
        <v>1</v>
      </c>
      <c r="D29">
        <v>1</v>
      </c>
      <c r="E29">
        <v>0</v>
      </c>
      <c r="F29">
        <v>0</v>
      </c>
      <c r="G29">
        <v>0</v>
      </c>
    </row>
    <row r="30" spans="1:7">
      <c r="A30" t="s">
        <v>56</v>
      </c>
      <c r="B30" s="4" t="s">
        <v>57</v>
      </c>
      <c r="C30">
        <v>1</v>
      </c>
      <c r="D30">
        <v>0</v>
      </c>
      <c r="E30">
        <v>0</v>
      </c>
      <c r="F30">
        <v>0</v>
      </c>
      <c r="G30">
        <v>1</v>
      </c>
    </row>
    <row r="31" spans="1:7">
      <c r="A31" t="s">
        <v>58</v>
      </c>
      <c r="B31" s="4" t="s">
        <v>59</v>
      </c>
      <c r="C31">
        <v>0</v>
      </c>
      <c r="D31">
        <v>0</v>
      </c>
      <c r="E31">
        <v>1</v>
      </c>
      <c r="F31">
        <v>1</v>
      </c>
      <c r="G31">
        <v>0</v>
      </c>
    </row>
    <row r="32" spans="1:7">
      <c r="A32" t="s">
        <v>60</v>
      </c>
      <c r="B32" s="4" t="s">
        <v>61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t="s">
        <v>62</v>
      </c>
      <c r="B33" s="4" t="s">
        <v>47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t="s">
        <v>63</v>
      </c>
      <c r="B34" s="4" t="s">
        <v>64</v>
      </c>
      <c r="C34">
        <v>0</v>
      </c>
      <c r="D34">
        <v>0</v>
      </c>
      <c r="E34">
        <v>1</v>
      </c>
      <c r="F34">
        <v>0</v>
      </c>
      <c r="G34">
        <v>0</v>
      </c>
    </row>
    <row r="35" spans="1:7">
      <c r="A35" t="s">
        <v>65</v>
      </c>
      <c r="B35" s="4" t="s">
        <v>66</v>
      </c>
      <c r="C35">
        <v>1</v>
      </c>
      <c r="D35">
        <v>0</v>
      </c>
      <c r="E35">
        <v>0</v>
      </c>
      <c r="F35">
        <v>0</v>
      </c>
      <c r="G35">
        <v>0</v>
      </c>
    </row>
    <row r="36" spans="1:7">
      <c r="A36" t="s">
        <v>67</v>
      </c>
      <c r="B36" s="4" t="s">
        <v>68</v>
      </c>
      <c r="C36">
        <v>0</v>
      </c>
      <c r="D36">
        <v>0</v>
      </c>
      <c r="E36">
        <v>1</v>
      </c>
      <c r="F36">
        <v>0</v>
      </c>
      <c r="G36">
        <v>1</v>
      </c>
    </row>
    <row r="37" spans="1:7">
      <c r="A37" t="s">
        <v>69</v>
      </c>
      <c r="B37" s="4" t="s">
        <v>70</v>
      </c>
      <c r="C37">
        <v>0</v>
      </c>
      <c r="D37">
        <v>0</v>
      </c>
      <c r="E37">
        <v>1</v>
      </c>
      <c r="F37">
        <v>0</v>
      </c>
      <c r="G37">
        <v>0</v>
      </c>
    </row>
    <row r="38" spans="1:7">
      <c r="A38" t="s">
        <v>71</v>
      </c>
      <c r="B38" s="4" t="s">
        <v>72</v>
      </c>
      <c r="C38">
        <v>0</v>
      </c>
      <c r="D38">
        <v>0</v>
      </c>
      <c r="E38">
        <v>1</v>
      </c>
      <c r="F38">
        <v>0</v>
      </c>
      <c r="G38">
        <v>0</v>
      </c>
    </row>
    <row r="39" spans="1:7">
      <c r="A39" t="s">
        <v>73</v>
      </c>
      <c r="B39" s="4" t="s">
        <v>36</v>
      </c>
      <c r="C39">
        <v>1</v>
      </c>
      <c r="D39">
        <v>0</v>
      </c>
      <c r="E39">
        <v>0</v>
      </c>
      <c r="F39">
        <v>0</v>
      </c>
      <c r="G39">
        <v>0</v>
      </c>
    </row>
    <row r="40" spans="1:7">
      <c r="A40" t="s">
        <v>74</v>
      </c>
      <c r="B40" s="4" t="s">
        <v>28</v>
      </c>
      <c r="C40">
        <v>0</v>
      </c>
      <c r="D40">
        <v>0</v>
      </c>
      <c r="E40">
        <v>1</v>
      </c>
      <c r="F40">
        <v>0</v>
      </c>
      <c r="G40">
        <v>0</v>
      </c>
    </row>
    <row r="41" spans="1:7">
      <c r="A41" t="s">
        <v>75</v>
      </c>
      <c r="B41" s="4" t="s">
        <v>76</v>
      </c>
      <c r="C41">
        <v>1</v>
      </c>
      <c r="D41">
        <v>0</v>
      </c>
      <c r="E41">
        <v>0</v>
      </c>
      <c r="F41">
        <v>0</v>
      </c>
      <c r="G41">
        <v>2</v>
      </c>
    </row>
    <row r="42" spans="1:7">
      <c r="A42" t="s">
        <v>77</v>
      </c>
      <c r="B42" s="4" t="s">
        <v>78</v>
      </c>
      <c r="C42">
        <v>0</v>
      </c>
      <c r="D42">
        <v>0</v>
      </c>
      <c r="E42">
        <v>1</v>
      </c>
      <c r="F42">
        <v>0</v>
      </c>
      <c r="G42">
        <v>0</v>
      </c>
    </row>
    <row r="43" spans="1:7">
      <c r="A43" t="s">
        <v>79</v>
      </c>
      <c r="B43" s="4" t="s">
        <v>80</v>
      </c>
      <c r="C43">
        <v>1</v>
      </c>
      <c r="D43">
        <v>1</v>
      </c>
      <c r="E43">
        <v>0</v>
      </c>
      <c r="F43">
        <v>0</v>
      </c>
      <c r="G43">
        <v>0</v>
      </c>
    </row>
    <row r="44" spans="1:7">
      <c r="A44" t="s">
        <v>81</v>
      </c>
      <c r="B44" s="4" t="s">
        <v>82</v>
      </c>
      <c r="C44">
        <v>0</v>
      </c>
      <c r="D44">
        <v>0</v>
      </c>
      <c r="E44">
        <v>1</v>
      </c>
      <c r="F44">
        <v>0</v>
      </c>
      <c r="G44">
        <v>0</v>
      </c>
    </row>
    <row r="45" spans="1:7">
      <c r="A45" t="s">
        <v>83</v>
      </c>
      <c r="B45" s="4" t="s">
        <v>84</v>
      </c>
      <c r="C45">
        <v>0</v>
      </c>
      <c r="D45">
        <v>2</v>
      </c>
      <c r="E45">
        <v>1</v>
      </c>
      <c r="F45">
        <v>0</v>
      </c>
      <c r="G45">
        <v>0</v>
      </c>
    </row>
    <row r="46" spans="1:7">
      <c r="A46" t="s">
        <v>85</v>
      </c>
      <c r="B46" s="4" t="s">
        <v>86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t="s">
        <v>87</v>
      </c>
      <c r="B47" s="4" t="s">
        <v>88</v>
      </c>
      <c r="C47">
        <v>0</v>
      </c>
      <c r="D47">
        <v>0</v>
      </c>
      <c r="E47">
        <v>1</v>
      </c>
      <c r="F47">
        <v>0</v>
      </c>
      <c r="G47">
        <v>0</v>
      </c>
    </row>
    <row r="48" spans="1:7">
      <c r="A48" t="s">
        <v>89</v>
      </c>
      <c r="B48" s="4" t="s">
        <v>26</v>
      </c>
      <c r="C48">
        <v>0</v>
      </c>
      <c r="D48">
        <v>0</v>
      </c>
      <c r="E48">
        <v>1</v>
      </c>
      <c r="F48">
        <v>0</v>
      </c>
      <c r="G48">
        <v>0</v>
      </c>
    </row>
    <row r="49" spans="1:7">
      <c r="A49" t="s">
        <v>90</v>
      </c>
      <c r="B49" s="4" t="s">
        <v>91</v>
      </c>
      <c r="C49">
        <v>0</v>
      </c>
      <c r="D49">
        <v>1</v>
      </c>
      <c r="E49">
        <v>1</v>
      </c>
      <c r="F49">
        <v>0</v>
      </c>
      <c r="G49">
        <v>0</v>
      </c>
    </row>
    <row r="50" spans="1:7">
      <c r="A50" t="s">
        <v>92</v>
      </c>
      <c r="B50" s="4" t="s">
        <v>24</v>
      </c>
      <c r="C50">
        <v>1</v>
      </c>
      <c r="D50">
        <v>0</v>
      </c>
      <c r="E50">
        <v>0</v>
      </c>
      <c r="F50">
        <v>0</v>
      </c>
      <c r="G50">
        <v>0</v>
      </c>
    </row>
    <row r="51" spans="1:7">
      <c r="A51" t="s">
        <v>93</v>
      </c>
      <c r="B51" s="4" t="s">
        <v>24</v>
      </c>
      <c r="C51">
        <v>1</v>
      </c>
      <c r="D51">
        <v>0</v>
      </c>
      <c r="E51">
        <v>0</v>
      </c>
      <c r="F51">
        <v>0</v>
      </c>
      <c r="G51">
        <v>0</v>
      </c>
    </row>
    <row r="52" spans="1:7">
      <c r="A52" t="s">
        <v>94</v>
      </c>
      <c r="B52" s="4" t="s">
        <v>95</v>
      </c>
      <c r="C52">
        <v>1</v>
      </c>
      <c r="D52">
        <v>0</v>
      </c>
      <c r="E52">
        <v>0</v>
      </c>
      <c r="F52">
        <v>0</v>
      </c>
      <c r="G52">
        <v>0</v>
      </c>
    </row>
    <row r="53" spans="1:7">
      <c r="A53" t="s">
        <v>96</v>
      </c>
      <c r="B53" s="4" t="s">
        <v>97</v>
      </c>
      <c r="C53">
        <v>0</v>
      </c>
      <c r="D53">
        <v>1</v>
      </c>
      <c r="E53">
        <v>1</v>
      </c>
      <c r="F53">
        <v>0</v>
      </c>
      <c r="G53">
        <v>0</v>
      </c>
    </row>
    <row r="54" spans="1:7">
      <c r="A54" t="s">
        <v>98</v>
      </c>
      <c r="B54" s="4" t="s">
        <v>99</v>
      </c>
      <c r="C54">
        <v>0</v>
      </c>
      <c r="D54">
        <v>1</v>
      </c>
      <c r="E54">
        <v>1</v>
      </c>
      <c r="F54">
        <v>0</v>
      </c>
      <c r="G54">
        <v>0</v>
      </c>
    </row>
    <row r="55" spans="1:7">
      <c r="A55" t="s">
        <v>100</v>
      </c>
      <c r="B55" s="4" t="s">
        <v>101</v>
      </c>
      <c r="C55">
        <v>0</v>
      </c>
      <c r="D55">
        <v>0</v>
      </c>
      <c r="E55">
        <v>1</v>
      </c>
      <c r="F55">
        <v>0</v>
      </c>
      <c r="G55">
        <v>0</v>
      </c>
    </row>
    <row r="56" spans="1:7">
      <c r="A56" t="s">
        <v>102</v>
      </c>
      <c r="B56" s="4" t="s">
        <v>82</v>
      </c>
      <c r="C56">
        <v>0</v>
      </c>
      <c r="D56">
        <v>0</v>
      </c>
      <c r="E56">
        <v>1</v>
      </c>
      <c r="F56">
        <v>0</v>
      </c>
      <c r="G56">
        <v>0</v>
      </c>
    </row>
    <row r="57" spans="1:7">
      <c r="A57" t="s">
        <v>103</v>
      </c>
      <c r="B57" s="4" t="s">
        <v>104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1:7">
      <c r="A58" t="s">
        <v>105</v>
      </c>
      <c r="B58" s="4" t="s">
        <v>106</v>
      </c>
      <c r="C58">
        <v>0</v>
      </c>
      <c r="D58">
        <v>0</v>
      </c>
      <c r="E58">
        <v>1</v>
      </c>
      <c r="F58">
        <v>0</v>
      </c>
      <c r="G58">
        <v>0</v>
      </c>
    </row>
    <row r="59" ht="15" spans="1:7">
      <c r="B59" s="5" t="s">
        <v>107</v>
      </c>
      <c r="C59">
        <f>SUM(C3:C58)</f>
        <v>29</v>
      </c>
      <c r="D59">
        <f>SUM(D3:D58)</f>
        <v>17</v>
      </c>
      <c r="E59">
        <f>SUM(E3:E58)</f>
        <v>27</v>
      </c>
    </row>
    <row r="60" ht="15" spans="1:7">
      <c r="B60" s="5" t="s">
        <v>108</v>
      </c>
      <c r="C60">
        <f>C59/(C59+D59)</f>
        <v>0.630434782608696</v>
      </c>
    </row>
    <row r="61" ht="15" spans="1:7">
      <c r="B61" s="5" t="s">
        <v>109</v>
      </c>
      <c r="C61">
        <f>C59/(C59+E59)</f>
        <v>0.517857142857143</v>
      </c>
    </row>
    <row r="62" ht="15" spans="1:7">
      <c r="B62" s="5" t="s">
        <v>110</v>
      </c>
      <c r="C62">
        <f>2*C60*C61/(C60+C61)</f>
        <v>0.568627450980392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LYS</dc:creator>
  <cp:lastModifiedBy>刘雨松</cp:lastModifiedBy>
  <dcterms:created xsi:type="dcterms:W3CDTF">2023-05-12T11:15:00Z</dcterms:created>
  <dcterms:modified xsi:type="dcterms:W3CDTF">2025-11-26T08:05:06Z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16A8B1C10C9745848820F62F076B123E_12</vt:lpwstr>
  </property>
</Properties>
</file>